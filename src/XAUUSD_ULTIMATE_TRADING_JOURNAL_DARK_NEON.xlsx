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C1D85D3E-704A-48A8-BA53-F46686751F9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Trade_Journal" sheetId="2" r:id="rId2"/>
    <sheet name="Stats" sheetId="3" r:id="rId3"/>
    <sheet name="Progress" sheetId="4" r:id="rId4"/>
    <sheet name="READ ME" sheetId="5" r:id="rId5"/>
    <sheet name="1-PAGE GUID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B3" i="3"/>
  <c r="B2" i="3"/>
  <c r="B1" i="3"/>
  <c r="B4" i="3" s="1"/>
  <c r="N501" i="2"/>
  <c r="M501" i="2"/>
  <c r="L501" i="2"/>
  <c r="N500" i="2"/>
  <c r="M500" i="2"/>
  <c r="L500" i="2"/>
  <c r="N499" i="2"/>
  <c r="M499" i="2"/>
  <c r="L499" i="2"/>
  <c r="N498" i="2"/>
  <c r="M498" i="2"/>
  <c r="L498" i="2"/>
  <c r="N497" i="2"/>
  <c r="M497" i="2"/>
  <c r="L497" i="2"/>
  <c r="N496" i="2"/>
  <c r="M496" i="2"/>
  <c r="L496" i="2"/>
  <c r="N495" i="2"/>
  <c r="M495" i="2"/>
  <c r="L495" i="2"/>
  <c r="N494" i="2"/>
  <c r="M494" i="2"/>
  <c r="L494" i="2"/>
  <c r="N493" i="2"/>
  <c r="M493" i="2"/>
  <c r="L493" i="2"/>
  <c r="N492" i="2"/>
  <c r="M492" i="2"/>
  <c r="L492" i="2"/>
  <c r="N491" i="2"/>
  <c r="M491" i="2"/>
  <c r="L491" i="2"/>
  <c r="N490" i="2"/>
  <c r="M490" i="2"/>
  <c r="L490" i="2"/>
  <c r="N489" i="2"/>
  <c r="M489" i="2"/>
  <c r="L489" i="2"/>
  <c r="N488" i="2"/>
  <c r="M488" i="2"/>
  <c r="L488" i="2"/>
  <c r="N487" i="2"/>
  <c r="M487" i="2"/>
  <c r="L487" i="2"/>
  <c r="N486" i="2"/>
  <c r="M486" i="2"/>
  <c r="L486" i="2"/>
  <c r="N485" i="2"/>
  <c r="M485" i="2"/>
  <c r="L485" i="2"/>
  <c r="N484" i="2"/>
  <c r="M484" i="2"/>
  <c r="L484" i="2"/>
  <c r="N483" i="2"/>
  <c r="M483" i="2"/>
  <c r="L483" i="2"/>
  <c r="N482" i="2"/>
  <c r="M482" i="2"/>
  <c r="L482" i="2"/>
  <c r="N481" i="2"/>
  <c r="M481" i="2"/>
  <c r="L481" i="2"/>
  <c r="N480" i="2"/>
  <c r="M480" i="2"/>
  <c r="L480" i="2"/>
  <c r="N479" i="2"/>
  <c r="M479" i="2"/>
  <c r="L479" i="2"/>
  <c r="N478" i="2"/>
  <c r="M478" i="2"/>
  <c r="L478" i="2"/>
  <c r="N477" i="2"/>
  <c r="M477" i="2"/>
  <c r="L477" i="2"/>
  <c r="N476" i="2"/>
  <c r="M476" i="2"/>
  <c r="L476" i="2"/>
  <c r="N475" i="2"/>
  <c r="M475" i="2"/>
  <c r="L475" i="2"/>
  <c r="N474" i="2"/>
  <c r="M474" i="2"/>
  <c r="L474" i="2"/>
  <c r="N473" i="2"/>
  <c r="M473" i="2"/>
  <c r="L473" i="2"/>
  <c r="N472" i="2"/>
  <c r="M472" i="2"/>
  <c r="L472" i="2"/>
  <c r="N471" i="2"/>
  <c r="M471" i="2"/>
  <c r="L471" i="2"/>
  <c r="N470" i="2"/>
  <c r="M470" i="2"/>
  <c r="L470" i="2"/>
  <c r="N469" i="2"/>
  <c r="M469" i="2"/>
  <c r="L469" i="2"/>
  <c r="N468" i="2"/>
  <c r="M468" i="2"/>
  <c r="L468" i="2"/>
  <c r="N467" i="2"/>
  <c r="M467" i="2"/>
  <c r="L467" i="2"/>
  <c r="N466" i="2"/>
  <c r="M466" i="2"/>
  <c r="L466" i="2"/>
  <c r="N465" i="2"/>
  <c r="M465" i="2"/>
  <c r="L465" i="2"/>
  <c r="N464" i="2"/>
  <c r="M464" i="2"/>
  <c r="L464" i="2"/>
  <c r="N463" i="2"/>
  <c r="M463" i="2"/>
  <c r="L463" i="2"/>
  <c r="N462" i="2"/>
  <c r="M462" i="2"/>
  <c r="L462" i="2"/>
  <c r="N461" i="2"/>
  <c r="M461" i="2"/>
  <c r="L461" i="2"/>
  <c r="N460" i="2"/>
  <c r="M460" i="2"/>
  <c r="L460" i="2"/>
  <c r="N459" i="2"/>
  <c r="M459" i="2"/>
  <c r="L459" i="2"/>
  <c r="N458" i="2"/>
  <c r="M458" i="2"/>
  <c r="L458" i="2"/>
  <c r="N457" i="2"/>
  <c r="M457" i="2"/>
  <c r="L457" i="2"/>
  <c r="N456" i="2"/>
  <c r="M456" i="2"/>
  <c r="L456" i="2"/>
  <c r="N455" i="2"/>
  <c r="M455" i="2"/>
  <c r="L455" i="2"/>
  <c r="N454" i="2"/>
  <c r="M454" i="2"/>
  <c r="L454" i="2"/>
  <c r="N453" i="2"/>
  <c r="M453" i="2"/>
  <c r="L453" i="2"/>
  <c r="N452" i="2"/>
  <c r="M452" i="2"/>
  <c r="L452" i="2"/>
  <c r="N451" i="2"/>
  <c r="M451" i="2"/>
  <c r="L451" i="2"/>
  <c r="N450" i="2"/>
  <c r="M450" i="2"/>
  <c r="L450" i="2"/>
  <c r="N449" i="2"/>
  <c r="M449" i="2"/>
  <c r="L449" i="2"/>
  <c r="N448" i="2"/>
  <c r="M448" i="2"/>
  <c r="L448" i="2"/>
  <c r="N447" i="2"/>
  <c r="M447" i="2"/>
  <c r="L447" i="2"/>
  <c r="N446" i="2"/>
  <c r="M446" i="2"/>
  <c r="L446" i="2"/>
  <c r="N445" i="2"/>
  <c r="M445" i="2"/>
  <c r="L445" i="2"/>
  <c r="N444" i="2"/>
  <c r="M444" i="2"/>
  <c r="L444" i="2"/>
  <c r="N443" i="2"/>
  <c r="M443" i="2"/>
  <c r="L443" i="2"/>
  <c r="N442" i="2"/>
  <c r="M442" i="2"/>
  <c r="L442" i="2"/>
  <c r="N441" i="2"/>
  <c r="M441" i="2"/>
  <c r="L441" i="2"/>
  <c r="N440" i="2"/>
  <c r="M440" i="2"/>
  <c r="L440" i="2"/>
  <c r="N439" i="2"/>
  <c r="M439" i="2"/>
  <c r="L439" i="2"/>
  <c r="N438" i="2"/>
  <c r="M438" i="2"/>
  <c r="L438" i="2"/>
  <c r="N437" i="2"/>
  <c r="M437" i="2"/>
  <c r="L437" i="2"/>
  <c r="N436" i="2"/>
  <c r="M436" i="2"/>
  <c r="L436" i="2"/>
  <c r="N435" i="2"/>
  <c r="M435" i="2"/>
  <c r="L435" i="2"/>
  <c r="N434" i="2"/>
  <c r="M434" i="2"/>
  <c r="L434" i="2"/>
  <c r="N433" i="2"/>
  <c r="M433" i="2"/>
  <c r="L433" i="2"/>
  <c r="N432" i="2"/>
  <c r="M432" i="2"/>
  <c r="L432" i="2"/>
  <c r="N431" i="2"/>
  <c r="M431" i="2"/>
  <c r="L431" i="2"/>
  <c r="N430" i="2"/>
  <c r="M430" i="2"/>
  <c r="L430" i="2"/>
  <c r="N429" i="2"/>
  <c r="M429" i="2"/>
  <c r="L429" i="2"/>
  <c r="N428" i="2"/>
  <c r="M428" i="2"/>
  <c r="L428" i="2"/>
  <c r="N427" i="2"/>
  <c r="M427" i="2"/>
  <c r="L427" i="2"/>
  <c r="N426" i="2"/>
  <c r="M426" i="2"/>
  <c r="L426" i="2"/>
  <c r="N425" i="2"/>
  <c r="M425" i="2"/>
  <c r="L425" i="2"/>
  <c r="N424" i="2"/>
  <c r="M424" i="2"/>
  <c r="L424" i="2"/>
  <c r="N423" i="2"/>
  <c r="M423" i="2"/>
  <c r="L423" i="2"/>
  <c r="N422" i="2"/>
  <c r="M422" i="2"/>
  <c r="L422" i="2"/>
  <c r="N421" i="2"/>
  <c r="M421" i="2"/>
  <c r="L421" i="2"/>
  <c r="N420" i="2"/>
  <c r="M420" i="2"/>
  <c r="L420" i="2"/>
  <c r="N419" i="2"/>
  <c r="M419" i="2"/>
  <c r="L419" i="2"/>
  <c r="N418" i="2"/>
  <c r="M418" i="2"/>
  <c r="L418" i="2"/>
  <c r="N417" i="2"/>
  <c r="M417" i="2"/>
  <c r="L417" i="2"/>
  <c r="N416" i="2"/>
  <c r="M416" i="2"/>
  <c r="L416" i="2"/>
  <c r="N415" i="2"/>
  <c r="M415" i="2"/>
  <c r="L415" i="2"/>
  <c r="N414" i="2"/>
  <c r="M414" i="2"/>
  <c r="L414" i="2"/>
  <c r="N413" i="2"/>
  <c r="M413" i="2"/>
  <c r="L413" i="2"/>
  <c r="N412" i="2"/>
  <c r="M412" i="2"/>
  <c r="L412" i="2"/>
  <c r="N411" i="2"/>
  <c r="M411" i="2"/>
  <c r="L411" i="2"/>
  <c r="N410" i="2"/>
  <c r="M410" i="2"/>
  <c r="L410" i="2"/>
  <c r="N409" i="2"/>
  <c r="M409" i="2"/>
  <c r="L409" i="2"/>
  <c r="N408" i="2"/>
  <c r="M408" i="2"/>
  <c r="L408" i="2"/>
  <c r="N407" i="2"/>
  <c r="M407" i="2"/>
  <c r="L407" i="2"/>
  <c r="N406" i="2"/>
  <c r="M406" i="2"/>
  <c r="L406" i="2"/>
  <c r="N405" i="2"/>
  <c r="M405" i="2"/>
  <c r="L405" i="2"/>
  <c r="N404" i="2"/>
  <c r="M404" i="2"/>
  <c r="L404" i="2"/>
  <c r="N403" i="2"/>
  <c r="M403" i="2"/>
  <c r="L403" i="2"/>
  <c r="N402" i="2"/>
  <c r="M402" i="2"/>
  <c r="L402" i="2"/>
  <c r="N401" i="2"/>
  <c r="M401" i="2"/>
  <c r="L401" i="2"/>
  <c r="N400" i="2"/>
  <c r="M400" i="2"/>
  <c r="L400" i="2"/>
  <c r="N399" i="2"/>
  <c r="M399" i="2"/>
  <c r="L399" i="2"/>
  <c r="N398" i="2"/>
  <c r="M398" i="2"/>
  <c r="L398" i="2"/>
  <c r="N397" i="2"/>
  <c r="M397" i="2"/>
  <c r="L397" i="2"/>
  <c r="N396" i="2"/>
  <c r="M396" i="2"/>
  <c r="L396" i="2"/>
  <c r="N395" i="2"/>
  <c r="M395" i="2"/>
  <c r="L395" i="2"/>
  <c r="N394" i="2"/>
  <c r="M394" i="2"/>
  <c r="L394" i="2"/>
  <c r="N393" i="2"/>
  <c r="M393" i="2"/>
  <c r="L393" i="2"/>
  <c r="N392" i="2"/>
  <c r="M392" i="2"/>
  <c r="L392" i="2"/>
  <c r="N391" i="2"/>
  <c r="M391" i="2"/>
  <c r="L391" i="2"/>
  <c r="N390" i="2"/>
  <c r="M390" i="2"/>
  <c r="L390" i="2"/>
  <c r="N389" i="2"/>
  <c r="M389" i="2"/>
  <c r="L389" i="2"/>
  <c r="N388" i="2"/>
  <c r="M388" i="2"/>
  <c r="L388" i="2"/>
  <c r="N387" i="2"/>
  <c r="M387" i="2"/>
  <c r="L387" i="2"/>
  <c r="N386" i="2"/>
  <c r="M386" i="2"/>
  <c r="L386" i="2"/>
  <c r="N385" i="2"/>
  <c r="M385" i="2"/>
  <c r="L385" i="2"/>
  <c r="N384" i="2"/>
  <c r="M384" i="2"/>
  <c r="L384" i="2"/>
  <c r="N383" i="2"/>
  <c r="M383" i="2"/>
  <c r="L383" i="2"/>
  <c r="N382" i="2"/>
  <c r="M382" i="2"/>
  <c r="L382" i="2"/>
  <c r="N381" i="2"/>
  <c r="M381" i="2"/>
  <c r="L381" i="2"/>
  <c r="N380" i="2"/>
  <c r="M380" i="2"/>
  <c r="L380" i="2"/>
  <c r="N379" i="2"/>
  <c r="M379" i="2"/>
  <c r="L379" i="2"/>
  <c r="N378" i="2"/>
  <c r="M378" i="2"/>
  <c r="L378" i="2"/>
  <c r="N377" i="2"/>
  <c r="M377" i="2"/>
  <c r="L377" i="2"/>
  <c r="N376" i="2"/>
  <c r="M376" i="2"/>
  <c r="L376" i="2"/>
  <c r="N375" i="2"/>
  <c r="M375" i="2"/>
  <c r="L375" i="2"/>
  <c r="N374" i="2"/>
  <c r="M374" i="2"/>
  <c r="L374" i="2"/>
  <c r="N373" i="2"/>
  <c r="M373" i="2"/>
  <c r="L373" i="2"/>
  <c r="N372" i="2"/>
  <c r="M372" i="2"/>
  <c r="L372" i="2"/>
  <c r="N371" i="2"/>
  <c r="M371" i="2"/>
  <c r="L371" i="2"/>
  <c r="N370" i="2"/>
  <c r="M370" i="2"/>
  <c r="L370" i="2"/>
  <c r="N369" i="2"/>
  <c r="M369" i="2"/>
  <c r="L369" i="2"/>
  <c r="N368" i="2"/>
  <c r="M368" i="2"/>
  <c r="L368" i="2"/>
  <c r="N367" i="2"/>
  <c r="M367" i="2"/>
  <c r="L367" i="2"/>
  <c r="N366" i="2"/>
  <c r="M366" i="2"/>
  <c r="L366" i="2"/>
  <c r="N365" i="2"/>
  <c r="M365" i="2"/>
  <c r="L365" i="2"/>
  <c r="N364" i="2"/>
  <c r="M364" i="2"/>
  <c r="L364" i="2"/>
  <c r="N363" i="2"/>
  <c r="M363" i="2"/>
  <c r="L363" i="2"/>
  <c r="N362" i="2"/>
  <c r="M362" i="2"/>
  <c r="L362" i="2"/>
  <c r="N361" i="2"/>
  <c r="M361" i="2"/>
  <c r="L361" i="2"/>
  <c r="N360" i="2"/>
  <c r="M360" i="2"/>
  <c r="L360" i="2"/>
  <c r="N359" i="2"/>
  <c r="M359" i="2"/>
  <c r="L359" i="2"/>
  <c r="N358" i="2"/>
  <c r="M358" i="2"/>
  <c r="L358" i="2"/>
  <c r="N357" i="2"/>
  <c r="M357" i="2"/>
  <c r="L357" i="2"/>
  <c r="N356" i="2"/>
  <c r="M356" i="2"/>
  <c r="L356" i="2"/>
  <c r="N355" i="2"/>
  <c r="M355" i="2"/>
  <c r="L355" i="2"/>
  <c r="N354" i="2"/>
  <c r="M354" i="2"/>
  <c r="L354" i="2"/>
  <c r="N353" i="2"/>
  <c r="M353" i="2"/>
  <c r="L353" i="2"/>
  <c r="N352" i="2"/>
  <c r="M352" i="2"/>
  <c r="L352" i="2"/>
  <c r="N351" i="2"/>
  <c r="M351" i="2"/>
  <c r="L351" i="2"/>
  <c r="N350" i="2"/>
  <c r="M350" i="2"/>
  <c r="L350" i="2"/>
  <c r="N349" i="2"/>
  <c r="M349" i="2"/>
  <c r="L349" i="2"/>
  <c r="N348" i="2"/>
  <c r="M348" i="2"/>
  <c r="L348" i="2"/>
  <c r="N347" i="2"/>
  <c r="M347" i="2"/>
  <c r="L347" i="2"/>
  <c r="N346" i="2"/>
  <c r="M346" i="2"/>
  <c r="L346" i="2"/>
  <c r="N345" i="2"/>
  <c r="M345" i="2"/>
  <c r="L345" i="2"/>
  <c r="N344" i="2"/>
  <c r="M344" i="2"/>
  <c r="L344" i="2"/>
  <c r="N343" i="2"/>
  <c r="M343" i="2"/>
  <c r="L343" i="2"/>
  <c r="N342" i="2"/>
  <c r="M342" i="2"/>
  <c r="L342" i="2"/>
  <c r="N341" i="2"/>
  <c r="M341" i="2"/>
  <c r="L341" i="2"/>
  <c r="N340" i="2"/>
  <c r="M340" i="2"/>
  <c r="L340" i="2"/>
  <c r="N339" i="2"/>
  <c r="M339" i="2"/>
  <c r="L339" i="2"/>
  <c r="N338" i="2"/>
  <c r="M338" i="2"/>
  <c r="L338" i="2"/>
  <c r="N337" i="2"/>
  <c r="M337" i="2"/>
  <c r="L337" i="2"/>
  <c r="N336" i="2"/>
  <c r="M336" i="2"/>
  <c r="L336" i="2"/>
  <c r="N335" i="2"/>
  <c r="M335" i="2"/>
  <c r="L335" i="2"/>
  <c r="N334" i="2"/>
  <c r="M334" i="2"/>
  <c r="L334" i="2"/>
  <c r="N333" i="2"/>
  <c r="M333" i="2"/>
  <c r="L333" i="2"/>
  <c r="N332" i="2"/>
  <c r="M332" i="2"/>
  <c r="L332" i="2"/>
  <c r="N331" i="2"/>
  <c r="M331" i="2"/>
  <c r="L331" i="2"/>
  <c r="N330" i="2"/>
  <c r="M330" i="2"/>
  <c r="L330" i="2"/>
  <c r="N329" i="2"/>
  <c r="M329" i="2"/>
  <c r="L329" i="2"/>
  <c r="N328" i="2"/>
  <c r="M328" i="2"/>
  <c r="L328" i="2"/>
  <c r="N327" i="2"/>
  <c r="M327" i="2"/>
  <c r="L327" i="2"/>
  <c r="N326" i="2"/>
  <c r="M326" i="2"/>
  <c r="L326" i="2"/>
  <c r="N325" i="2"/>
  <c r="M325" i="2"/>
  <c r="L325" i="2"/>
  <c r="N324" i="2"/>
  <c r="M324" i="2"/>
  <c r="L324" i="2"/>
  <c r="N323" i="2"/>
  <c r="M323" i="2"/>
  <c r="L323" i="2"/>
  <c r="N322" i="2"/>
  <c r="M322" i="2"/>
  <c r="L322" i="2"/>
  <c r="N321" i="2"/>
  <c r="M321" i="2"/>
  <c r="L321" i="2"/>
  <c r="N320" i="2"/>
  <c r="M320" i="2"/>
  <c r="L320" i="2"/>
  <c r="N319" i="2"/>
  <c r="M319" i="2"/>
  <c r="L319" i="2"/>
  <c r="N318" i="2"/>
  <c r="M318" i="2"/>
  <c r="L318" i="2"/>
  <c r="N317" i="2"/>
  <c r="M317" i="2"/>
  <c r="L317" i="2"/>
  <c r="N316" i="2"/>
  <c r="M316" i="2"/>
  <c r="L316" i="2"/>
  <c r="N315" i="2"/>
  <c r="M315" i="2"/>
  <c r="L315" i="2"/>
  <c r="N314" i="2"/>
  <c r="M314" i="2"/>
  <c r="L314" i="2"/>
  <c r="N313" i="2"/>
  <c r="M313" i="2"/>
  <c r="L313" i="2"/>
  <c r="N312" i="2"/>
  <c r="M312" i="2"/>
  <c r="L312" i="2"/>
  <c r="N311" i="2"/>
  <c r="M311" i="2"/>
  <c r="L311" i="2"/>
  <c r="N310" i="2"/>
  <c r="M310" i="2"/>
  <c r="L310" i="2"/>
  <c r="N309" i="2"/>
  <c r="M309" i="2"/>
  <c r="L309" i="2"/>
  <c r="N308" i="2"/>
  <c r="M308" i="2"/>
  <c r="L308" i="2"/>
  <c r="N307" i="2"/>
  <c r="M307" i="2"/>
  <c r="L307" i="2"/>
  <c r="N306" i="2"/>
  <c r="M306" i="2"/>
  <c r="L306" i="2"/>
  <c r="N305" i="2"/>
  <c r="M305" i="2"/>
  <c r="L305" i="2"/>
  <c r="N304" i="2"/>
  <c r="M304" i="2"/>
  <c r="L304" i="2"/>
  <c r="N303" i="2"/>
  <c r="M303" i="2"/>
  <c r="L303" i="2"/>
  <c r="N302" i="2"/>
  <c r="M302" i="2"/>
  <c r="L302" i="2"/>
  <c r="N301" i="2"/>
  <c r="M301" i="2"/>
  <c r="L301" i="2"/>
  <c r="N300" i="2"/>
  <c r="M300" i="2"/>
  <c r="L300" i="2"/>
  <c r="N299" i="2"/>
  <c r="M299" i="2"/>
  <c r="L299" i="2"/>
  <c r="N298" i="2"/>
  <c r="M298" i="2"/>
  <c r="L298" i="2"/>
  <c r="N297" i="2"/>
  <c r="M297" i="2"/>
  <c r="L297" i="2"/>
  <c r="N296" i="2"/>
  <c r="M296" i="2"/>
  <c r="L296" i="2"/>
  <c r="N295" i="2"/>
  <c r="M295" i="2"/>
  <c r="L295" i="2"/>
  <c r="N294" i="2"/>
  <c r="M294" i="2"/>
  <c r="L294" i="2"/>
  <c r="N293" i="2"/>
  <c r="M293" i="2"/>
  <c r="L293" i="2"/>
  <c r="N292" i="2"/>
  <c r="M292" i="2"/>
  <c r="L292" i="2"/>
  <c r="N291" i="2"/>
  <c r="M291" i="2"/>
  <c r="L291" i="2"/>
  <c r="N290" i="2"/>
  <c r="M290" i="2"/>
  <c r="L290" i="2"/>
  <c r="N289" i="2"/>
  <c r="M289" i="2"/>
  <c r="L289" i="2"/>
  <c r="N288" i="2"/>
  <c r="M288" i="2"/>
  <c r="L288" i="2"/>
  <c r="N287" i="2"/>
  <c r="M287" i="2"/>
  <c r="L287" i="2"/>
  <c r="N286" i="2"/>
  <c r="M286" i="2"/>
  <c r="L286" i="2"/>
  <c r="N285" i="2"/>
  <c r="M285" i="2"/>
  <c r="L285" i="2"/>
  <c r="N284" i="2"/>
  <c r="M284" i="2"/>
  <c r="L284" i="2"/>
  <c r="N283" i="2"/>
  <c r="M283" i="2"/>
  <c r="L283" i="2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M4" i="2"/>
  <c r="N4" i="2" s="1"/>
  <c r="L4" i="2"/>
  <c r="M3" i="2"/>
  <c r="L3" i="2"/>
  <c r="N3" i="2" s="1"/>
  <c r="M2" i="2"/>
  <c r="N2" i="2" s="1"/>
  <c r="L2" i="2"/>
  <c r="B11" i="1"/>
  <c r="B10" i="1"/>
  <c r="B8" i="1"/>
  <c r="B2" i="4" s="1"/>
  <c r="B7" i="1"/>
  <c r="B1" i="4" s="1"/>
  <c r="B6" i="3" l="1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B8" i="3" s="1"/>
  <c r="B4" i="4" l="1"/>
  <c r="B7" i="3"/>
  <c r="B9" i="3" s="1"/>
  <c r="B10" i="3" s="1"/>
  <c r="B6" i="4" l="1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lot size (e.g., 0.02, 0.04). Do NOT edit calculated columns.</t>
        </r>
      </text>
    </comment>
    <comment ref="O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Select Win or Loss only from dropdown.</t>
        </r>
      </text>
    </comment>
    <comment ref="P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Mark No if you broke any rule.</t>
        </r>
      </text>
    </comment>
  </commentList>
</comments>
</file>

<file path=xl/sharedStrings.xml><?xml version="1.0" encoding="utf-8"?>
<sst xmlns="http://schemas.openxmlformats.org/spreadsheetml/2006/main" count="85" uniqueCount="79">
  <si>
    <t>ACCOUNT DASHBOARD</t>
  </si>
  <si>
    <t>Starting Balance ($)</t>
  </si>
  <si>
    <t>Fixed SL (pips)</t>
  </si>
  <si>
    <t>Default Risk % (editable)</t>
  </si>
  <si>
    <t>Phase1 Target (10%)</t>
  </si>
  <si>
    <t>Phase2 Target (5%)</t>
  </si>
  <si>
    <t>Daily Drawdown Limit (5%)</t>
  </si>
  <si>
    <t>Overall Drawdown Limit (10%)</t>
  </si>
  <si>
    <t>Date</t>
  </si>
  <si>
    <t>Session (IST)</t>
  </si>
  <si>
    <t>Pair</t>
  </si>
  <si>
    <t>Setup Type</t>
  </si>
  <si>
    <t>Direction</t>
  </si>
  <si>
    <t>Entry Price</t>
  </si>
  <si>
    <t>Stop Loss Price</t>
  </si>
  <si>
    <t>Take Profit Price</t>
  </si>
  <si>
    <t>Stop Loss (pips)</t>
  </si>
  <si>
    <t>Take Profit (pips)</t>
  </si>
  <si>
    <t>Lot Size</t>
  </si>
  <si>
    <t>Risk $</t>
  </si>
  <si>
    <t>Reward $</t>
  </si>
  <si>
    <t>Result $</t>
  </si>
  <si>
    <t>Outcome</t>
  </si>
  <si>
    <t>Rule Followed?</t>
  </si>
  <si>
    <t>Equity After Trade</t>
  </si>
  <si>
    <t>Notes</t>
  </si>
  <si>
    <t>⚠️ DO NOT EDIT COLORED COLUMNS</t>
  </si>
  <si>
    <t>London</t>
  </si>
  <si>
    <t>XAUUSD</t>
  </si>
  <si>
    <t>Breakout retest</t>
  </si>
  <si>
    <t>Buy</t>
  </si>
  <si>
    <t>Win</t>
  </si>
  <si>
    <t>Yes</t>
  </si>
  <si>
    <t>2025-12-03</t>
  </si>
  <si>
    <t>NY</t>
  </si>
  <si>
    <t>Liquidity sweep</t>
  </si>
  <si>
    <t>Sell</t>
  </si>
  <si>
    <t>Loss</t>
  </si>
  <si>
    <t>No</t>
  </si>
  <si>
    <t>2025-12-10</t>
  </si>
  <si>
    <t>Rejection wick</t>
  </si>
  <si>
    <t>Total Trades</t>
  </si>
  <si>
    <t>Winning Trades</t>
  </si>
  <si>
    <t>Losing Trades</t>
  </si>
  <si>
    <t>Win Rate %</t>
  </si>
  <si>
    <t>Total P/L ($)</t>
  </si>
  <si>
    <t>Current Equity ($)</t>
  </si>
  <si>
    <t>Peak Equity ($)</t>
  </si>
  <si>
    <t>Max Drawdown ($)</t>
  </si>
  <si>
    <t>Max Drawdown %</t>
  </si>
  <si>
    <t>Phase 1 Target (10%)</t>
  </si>
  <si>
    <t>Phase 2 Target (5%)</t>
  </si>
  <si>
    <t>Current Realized P/L ($)</t>
  </si>
  <si>
    <t>Progress to Phase1 (%)</t>
  </si>
  <si>
    <t>Progress to Phase2 (%)</t>
  </si>
  <si>
    <t>⚠️ READ ME FIRST – HOW TO USE THIS TRADING JOURNAL</t>
  </si>
  <si>
    <t>EDIT ONLY THESE COLUMNS IN Trade_Journal:</t>
  </si>
  <si>
    <t>Date, Session, Pair, Setup Type, Direction, Entry, SL, TP, SL pips, TP pips, Lot, Outcome, Rule Followed, Notes</t>
  </si>
  <si>
    <t>DO NOT EDIT:</t>
  </si>
  <si>
    <t>Risk $, Reward $, Result $, Equity After Trade, Stats sheet, Progress sheet</t>
  </si>
  <si>
    <t>HOW IT WORKS:</t>
  </si>
  <si>
    <t>• Risk $ = Lot × 100 × SL pips</t>
  </si>
  <si>
    <t>• Reward $ = Lot × 100 × TP pips</t>
  </si>
  <si>
    <t>• Result $ auto-calculates based on Win/Loss</t>
  </si>
  <si>
    <t>• Progress updates automatically toward 10% and 5% targets</t>
  </si>
  <si>
    <t>COLOR GUIDE:</t>
  </si>
  <si>
    <t>Green = Profit, Red = Loss, Yellow = Rule Broken</t>
  </si>
  <si>
    <t>DAILY STEPS:</t>
  </si>
  <si>
    <t>1. Enter trade row</t>
  </si>
  <si>
    <t>2. Select Win/Loss</t>
  </si>
  <si>
    <t>3. Review Stats &amp; Progress</t>
  </si>
  <si>
    <t>XAUUSD TRADING JOURNAL – QUICK GUIDE</t>
  </si>
  <si>
    <t>PAIR: XAUUSD | SL: 12 pips | TP: 5 pips</t>
  </si>
  <si>
    <t>ACCOUNT: $10,000 | TARGET: 10% then 5%</t>
  </si>
  <si>
    <t>ENTER DATA ONLY IN Trade_Journal</t>
  </si>
  <si>
    <t>ONE ROW = ONE TRADE</t>
  </si>
  <si>
    <t>GREEN = WIN | RED = LOSS | YELLOW = RULE BROKEN</t>
  </si>
  <si>
    <t>NEVER EDIT FORMULA CELLS</t>
  </si>
  <si>
    <t>CHECK Stats &amp; Progress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</si>
</sst>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00FF6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0B0B"/>
      </patternFill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0" fontId="1" fillId="2" borderId="0" xfId="0" applyNumberFormat="1" applyFont="1" applyFill="1"/>
    <xf numFmtId="9" fontId="1" fillId="2" borderId="0" xfId="0" applyNumberFormat="1" applyFont="1" applyFill="1"/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selection activeCell="B4" sqref="B4"/>
    </sheetView>
  </sheetViews>
  <sheetFormatPr defaultRowHeight="15"/>
  <cols>
    <col min="1" max="1" width="30.28515625" customWidth="1"/>
  </cols>
  <sheetData>
    <row r="1" spans="1:2">
      <c r="A1" s="1" t="s">
        <v>0</v>
      </c>
      <c r="B1" s="2"/>
    </row>
    <row r="2" spans="1:2">
      <c r="A2" s="3"/>
      <c r="B2" s="3"/>
    </row>
    <row r="3" spans="1:2">
      <c r="A3" s="3" t="s">
        <v>1</v>
      </c>
      <c r="B3" s="3">
        <v>5000</v>
      </c>
    </row>
    <row r="4" spans="1:2">
      <c r="A4" s="3" t="s">
        <v>2</v>
      </c>
      <c r="B4" s="3">
        <v>12</v>
      </c>
    </row>
    <row r="5" spans="1:2">
      <c r="A5" s="3" t="s">
        <v>3</v>
      </c>
      <c r="B5" s="3">
        <v>5.0000000000000001E-3</v>
      </c>
    </row>
    <row r="6" spans="1:2">
      <c r="A6" s="3"/>
      <c r="B6" s="3"/>
    </row>
    <row r="7" spans="1:2">
      <c r="A7" s="3" t="s">
        <v>4</v>
      </c>
      <c r="B7" s="3">
        <f>B3*0.1</f>
        <v>500</v>
      </c>
    </row>
    <row r="8" spans="1:2">
      <c r="A8" s="3" t="s">
        <v>5</v>
      </c>
      <c r="B8" s="3">
        <f>B3*0.05</f>
        <v>250</v>
      </c>
    </row>
    <row r="9" spans="1:2">
      <c r="A9" s="3"/>
      <c r="B9" s="3"/>
    </row>
    <row r="10" spans="1:2">
      <c r="A10" s="3" t="s">
        <v>6</v>
      </c>
      <c r="B10" s="3">
        <f>B3*0.05</f>
        <v>250</v>
      </c>
    </row>
    <row r="11" spans="1:2">
      <c r="A11" s="3" t="s">
        <v>7</v>
      </c>
      <c r="B11" s="3">
        <f>B3*0.1</f>
        <v>500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showGridLines="0" workbookViewId="0">
      <pane ySplit="1" topLeftCell="A2" activePane="bottomLeft" state="frozen"/>
      <selection pane="bottomLeft" activeCell="A5" sqref="A5"/>
    </sheetView>
  </sheetViews>
  <sheetFormatPr defaultRowHeight="15"/>
  <cols>
    <col min="1" max="1" width="14.28515625" customWidth="1"/>
    <col min="2" max="3" width="14" customWidth="1"/>
    <col min="4" max="4" width="15.42578125" customWidth="1"/>
    <col min="5" max="15" width="14" customWidth="1"/>
    <col min="16" max="16" width="16.7109375" customWidth="1"/>
    <col min="17" max="17" width="18.140625" customWidth="1"/>
    <col min="18" max="18" width="14" customWidth="1"/>
  </cols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>
        <v>4383</v>
      </c>
      <c r="G2" s="3">
        <v>4371</v>
      </c>
      <c r="H2" s="3">
        <v>4388</v>
      </c>
      <c r="I2" s="4">
        <v>12</v>
      </c>
      <c r="J2" s="4">
        <v>5</v>
      </c>
      <c r="K2" s="4">
        <v>0.02</v>
      </c>
      <c r="L2" s="4">
        <f>K2*100*I2</f>
        <v>24</v>
      </c>
      <c r="M2" s="4">
        <f>K2*100*J2</f>
        <v>10</v>
      </c>
      <c r="N2" s="4">
        <f>IF(O2="Win",M2,IF(O2="Loss",-L2,""))</f>
        <v>10</v>
      </c>
      <c r="O2" s="4" t="s">
        <v>31</v>
      </c>
      <c r="P2" s="3" t="s">
        <v>32</v>
      </c>
      <c r="Q2" s="4">
        <f>IF(SUM(N$2:N2)="",Dashboard!B3,Dashboard!B3+SUM(N$2:N2))</f>
        <v>5010</v>
      </c>
      <c r="R2" s="3"/>
    </row>
    <row r="3" spans="1:18">
      <c r="A3" s="3" t="s">
        <v>33</v>
      </c>
      <c r="B3" s="3" t="s">
        <v>34</v>
      </c>
      <c r="C3" s="3" t="s">
        <v>28</v>
      </c>
      <c r="D3" s="3" t="s">
        <v>35</v>
      </c>
      <c r="E3" s="3" t="s">
        <v>36</v>
      </c>
      <c r="F3" s="3">
        <v>4390</v>
      </c>
      <c r="G3" s="3">
        <v>4402</v>
      </c>
      <c r="H3" s="3">
        <v>4385</v>
      </c>
      <c r="I3" s="4">
        <v>12</v>
      </c>
      <c r="J3" s="4">
        <v>5</v>
      </c>
      <c r="K3" s="4">
        <v>0.04</v>
      </c>
      <c r="L3" s="4">
        <f>K3*100*I3</f>
        <v>48</v>
      </c>
      <c r="M3" s="4">
        <f>K3*100*J3</f>
        <v>20</v>
      </c>
      <c r="N3" s="4">
        <f>IF(O3="Win",M3,IF(O3="Loss",-L3,""))</f>
        <v>-48</v>
      </c>
      <c r="O3" s="4" t="s">
        <v>37</v>
      </c>
      <c r="P3" s="3" t="s">
        <v>38</v>
      </c>
      <c r="Q3" s="4">
        <f>IF(SUM(N$2:N3)="",Dashboard!B3,Dashboard!B3+SUM(N$2:N3))</f>
        <v>4962</v>
      </c>
      <c r="R3" s="3"/>
    </row>
    <row r="4" spans="1:18">
      <c r="A4" s="3" t="s">
        <v>39</v>
      </c>
      <c r="B4" s="3" t="s">
        <v>27</v>
      </c>
      <c r="C4" s="3" t="s">
        <v>28</v>
      </c>
      <c r="D4" s="3" t="s">
        <v>40</v>
      </c>
      <c r="E4" s="3" t="s">
        <v>30</v>
      </c>
      <c r="F4" s="3">
        <v>4360</v>
      </c>
      <c r="G4" s="3">
        <v>4348</v>
      </c>
      <c r="H4" s="3">
        <v>4365</v>
      </c>
      <c r="I4" s="4">
        <v>12</v>
      </c>
      <c r="J4" s="4">
        <v>5</v>
      </c>
      <c r="K4" s="4">
        <v>0.02</v>
      </c>
      <c r="L4" s="4">
        <f>K4*100*I4</f>
        <v>24</v>
      </c>
      <c r="M4" s="4">
        <f>K4*100*J4</f>
        <v>10</v>
      </c>
      <c r="N4" s="4">
        <f>IF(O4="Win",M4,IF(O4="Loss",-L4,""))</f>
        <v>10</v>
      </c>
      <c r="O4" s="4" t="s">
        <v>31</v>
      </c>
      <c r="P4" s="3" t="s">
        <v>32</v>
      </c>
      <c r="Q4" s="4">
        <f>IF(SUM(N$2:N4)="",Dashboard!B3,Dashboard!B3+SUM(N$2:N4))</f>
        <v>4972</v>
      </c>
      <c r="R4" s="3"/>
    </row>
    <row r="5" spans="1:18">
      <c r="A5" s="3"/>
      <c r="B5" s="3"/>
      <c r="C5" s="3"/>
      <c r="D5" s="3"/>
      <c r="E5" s="3"/>
      <c r="F5" s="3"/>
      <c r="G5" s="3"/>
      <c r="H5" s="3"/>
      <c r="I5" s="4"/>
      <c r="J5" s="4"/>
      <c r="K5" s="4"/>
      <c r="L5" s="4">
        <f>K5*100*I5</f>
        <v>0</v>
      </c>
      <c r="M5" s="4">
        <f>K5*100*J5</f>
        <v>0</v>
      </c>
      <c r="N5" s="4" t="str">
        <f>IF(O5="Win",M5,IF(O5="Loss",-L5,""))</f>
        <v/>
      </c>
      <c r="O5" s="4"/>
      <c r="P5" s="3"/>
      <c r="Q5" s="4">
        <f>IF(SUM(N$2:N5)="",Dashboard!B3,Dashboard!B3+SUM(N$2:N5))</f>
        <v>4972</v>
      </c>
      <c r="R5" s="3"/>
    </row>
    <row r="6" spans="1:18">
      <c r="A6" s="3"/>
      <c r="B6" s="3"/>
      <c r="C6" s="3"/>
      <c r="D6" s="3"/>
      <c r="E6" s="3"/>
      <c r="F6" s="3"/>
      <c r="G6" s="3"/>
      <c r="H6" s="3"/>
      <c r="I6" s="4"/>
      <c r="J6" s="4"/>
      <c r="K6" s="4"/>
      <c r="L6" s="4">
        <f>K6*100*I6</f>
        <v>0</v>
      </c>
      <c r="M6" s="4">
        <f>K6*100*J6</f>
        <v>0</v>
      </c>
      <c r="N6" s="4" t="str">
        <f>IF(O6="Win",M6,IF(O6="Loss",-L6,""))</f>
        <v/>
      </c>
      <c r="O6" s="4"/>
      <c r="P6" s="3"/>
      <c r="Q6" s="4">
        <f>IF(SUM(N$2:N6)="",Dashboard!B3,Dashboard!B3+SUM(N$2:N6))</f>
        <v>4972</v>
      </c>
      <c r="R6" s="3"/>
    </row>
    <row r="7" spans="1:18">
      <c r="A7" s="3"/>
      <c r="B7" s="3"/>
      <c r="C7" s="3"/>
      <c r="D7" s="3"/>
      <c r="E7" s="3"/>
      <c r="F7" s="3"/>
      <c r="G7" s="3"/>
      <c r="H7" s="3"/>
      <c r="I7" s="4"/>
      <c r="J7" s="4"/>
      <c r="K7" s="4"/>
      <c r="L7" s="4">
        <f>K7*100*I7</f>
        <v>0</v>
      </c>
      <c r="M7" s="4">
        <f>K7*100*J7</f>
        <v>0</v>
      </c>
      <c r="N7" s="4" t="str">
        <f>IF(O7="Win",M7,IF(O7="Loss",-L7,""))</f>
        <v/>
      </c>
      <c r="O7" s="4"/>
      <c r="P7" s="3"/>
      <c r="Q7" s="4">
        <f>IF(SUM(N$2:N7)="",Dashboard!B3,Dashboard!B3+SUM(N$2:N7))</f>
        <v>4972</v>
      </c>
      <c r="R7" s="3"/>
    </row>
    <row r="8" spans="1:18">
      <c r="A8" s="3"/>
      <c r="B8" s="3"/>
      <c r="C8" s="3"/>
      <c r="D8" s="3"/>
      <c r="E8" s="3"/>
      <c r="F8" s="3"/>
      <c r="G8" s="3"/>
      <c r="H8" s="3"/>
      <c r="I8" s="4"/>
      <c r="J8" s="4"/>
      <c r="K8" s="4"/>
      <c r="L8" s="4">
        <f>K8*100*I8</f>
        <v>0</v>
      </c>
      <c r="M8" s="4">
        <f>K8*100*J8</f>
        <v>0</v>
      </c>
      <c r="N8" s="4" t="str">
        <f>IF(O8="Win",M8,IF(O8="Loss",-L8,""))</f>
        <v/>
      </c>
      <c r="O8" s="4"/>
      <c r="P8" s="3"/>
      <c r="Q8" s="4">
        <f>IF(SUM(N$2:N8)="",Dashboard!B3,Dashboard!B3+SUM(N$2:N8))</f>
        <v>4972</v>
      </c>
      <c r="R8" s="3"/>
    </row>
    <row r="9" spans="1:18">
      <c r="A9" s="3"/>
      <c r="B9" s="3"/>
      <c r="C9" s="3"/>
      <c r="D9" s="3"/>
      <c r="E9" s="3"/>
      <c r="F9" s="3"/>
      <c r="G9" s="3"/>
      <c r="H9" s="3"/>
      <c r="I9" s="4"/>
      <c r="J9" s="4"/>
      <c r="K9" s="4"/>
      <c r="L9" s="4">
        <f>K9*100*I9</f>
        <v>0</v>
      </c>
      <c r="M9" s="4">
        <f>K9*100*J9</f>
        <v>0</v>
      </c>
      <c r="N9" s="4" t="str">
        <f>IF(O9="Win",M9,IF(O9="Loss",-L9,""))</f>
        <v/>
      </c>
      <c r="O9" s="4"/>
      <c r="P9" s="3"/>
      <c r="Q9" s="4">
        <f>IF(SUM(N$2:N9)="",Dashboard!B3,Dashboard!B3+SUM(N$2:N9))</f>
        <v>4972</v>
      </c>
      <c r="R9" s="3"/>
    </row>
    <row r="10" spans="1:18">
      <c r="A10" s="3"/>
      <c r="B10" s="3"/>
      <c r="C10" s="3"/>
      <c r="D10" s="3"/>
      <c r="E10" s="3"/>
      <c r="F10" s="3"/>
      <c r="G10" s="3"/>
      <c r="H10" s="3"/>
      <c r="I10" s="4"/>
      <c r="J10" s="4"/>
      <c r="K10" s="4"/>
      <c r="L10" s="4">
        <f>K10*100*I10</f>
        <v>0</v>
      </c>
      <c r="M10" s="4">
        <f>K10*100*J10</f>
        <v>0</v>
      </c>
      <c r="N10" s="4" t="str">
        <f>IF(O10="Win",M10,IF(O10="Loss",-L10,""))</f>
        <v/>
      </c>
      <c r="O10" s="4"/>
      <c r="P10" s="3"/>
      <c r="Q10" s="4">
        <f>IF(SUM(N$2:N10)="",Dashboard!B3,Dashboard!B3+SUM(N$2:N10))</f>
        <v>4972</v>
      </c>
      <c r="R10" s="3"/>
    </row>
    <row r="11" spans="1:18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  <c r="L11" s="4">
        <f>K11*100*I11</f>
        <v>0</v>
      </c>
      <c r="M11" s="4">
        <f>K11*100*J11</f>
        <v>0</v>
      </c>
      <c r="N11" s="4" t="str">
        <f>IF(O11="Win",M11,IF(O11="Loss",-L11,""))</f>
        <v/>
      </c>
      <c r="O11" s="4"/>
      <c r="P11" s="3"/>
      <c r="Q11" s="4">
        <f>IF(SUM(N$2:N11)="",Dashboard!B3,Dashboard!B3+SUM(N$2:N11))</f>
        <v>4972</v>
      </c>
      <c r="R11" s="3"/>
    </row>
    <row r="12" spans="1:18">
      <c r="A12" s="3"/>
      <c r="B12" s="3"/>
      <c r="C12" s="3"/>
      <c r="D12" s="3"/>
      <c r="E12" s="3"/>
      <c r="F12" s="3"/>
      <c r="G12" s="3"/>
      <c r="H12" s="3"/>
      <c r="I12" s="4"/>
      <c r="J12" s="4"/>
      <c r="K12" s="4"/>
      <c r="L12" s="4">
        <f>K12*100*I12</f>
        <v>0</v>
      </c>
      <c r="M12" s="4">
        <f>K12*100*J12</f>
        <v>0</v>
      </c>
      <c r="N12" s="4" t="str">
        <f>IF(O12="Win",M12,IF(O12="Loss",-L12,""))</f>
        <v/>
      </c>
      <c r="O12" s="4"/>
      <c r="P12" s="3"/>
      <c r="Q12" s="4">
        <f>IF(SUM(N$2:N12)="",Dashboard!B3,Dashboard!B3+SUM(N$2:N12))</f>
        <v>4972</v>
      </c>
      <c r="R12" s="3"/>
    </row>
    <row r="13" spans="1:18">
      <c r="A13" s="3"/>
      <c r="B13" s="3"/>
      <c r="C13" s="3"/>
      <c r="D13" s="3"/>
      <c r="E13" s="3"/>
      <c r="F13" s="3"/>
      <c r="G13" s="3"/>
      <c r="H13" s="3"/>
      <c r="I13" s="4"/>
      <c r="J13" s="4"/>
      <c r="K13" s="4"/>
      <c r="L13" s="4">
        <f>K13*100*I13</f>
        <v>0</v>
      </c>
      <c r="M13" s="4">
        <f>K13*100*J13</f>
        <v>0</v>
      </c>
      <c r="N13" s="4" t="str">
        <f>IF(O13="Win",M13,IF(O13="Loss",-L13,""))</f>
        <v/>
      </c>
      <c r="O13" s="4"/>
      <c r="P13" s="3"/>
      <c r="Q13" s="4">
        <f>IF(SUM(N$2:N13)="",Dashboard!B3,Dashboard!B3+SUM(N$2:N13))</f>
        <v>4972</v>
      </c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4"/>
      <c r="J14" s="4"/>
      <c r="K14" s="4"/>
      <c r="L14" s="4">
        <f>K14*100*I14</f>
        <v>0</v>
      </c>
      <c r="M14" s="4">
        <f>K14*100*J14</f>
        <v>0</v>
      </c>
      <c r="N14" s="4" t="str">
        <f>IF(O14="Win",M14,IF(O14="Loss",-L14,""))</f>
        <v/>
      </c>
      <c r="O14" s="4"/>
      <c r="P14" s="3"/>
      <c r="Q14" s="4">
        <f>IF(SUM(N$2:N14)="",Dashboard!B3,Dashboard!B3+SUM(N$2:N14))</f>
        <v>4972</v>
      </c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4"/>
      <c r="J15" s="4"/>
      <c r="K15" s="4"/>
      <c r="L15" s="4">
        <f>K15*100*I15</f>
        <v>0</v>
      </c>
      <c r="M15" s="4">
        <f>K15*100*J15</f>
        <v>0</v>
      </c>
      <c r="N15" s="4" t="str">
        <f>IF(O15="Win",M15,IF(O15="Loss",-L15,""))</f>
        <v/>
      </c>
      <c r="O15" s="4"/>
      <c r="P15" s="3"/>
      <c r="Q15" s="4">
        <f>IF(SUM(N$2:N15)="",Dashboard!B3,Dashboard!B3+SUM(N$2:N15))</f>
        <v>4972</v>
      </c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4"/>
      <c r="J16" s="4"/>
      <c r="K16" s="4"/>
      <c r="L16" s="4">
        <f>K16*100*I16</f>
        <v>0</v>
      </c>
      <c r="M16" s="4">
        <f>K16*100*J16</f>
        <v>0</v>
      </c>
      <c r="N16" s="4" t="str">
        <f>IF(O16="Win",M16,IF(O16="Loss",-L16,""))</f>
        <v/>
      </c>
      <c r="O16" s="4"/>
      <c r="P16" s="3"/>
      <c r="Q16" s="4">
        <f>IF(SUM(N$2:N16)="",Dashboard!B3,Dashboard!B3+SUM(N$2:N16))</f>
        <v>4972</v>
      </c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4"/>
      <c r="J17" s="4"/>
      <c r="K17" s="4"/>
      <c r="L17" s="4">
        <f>K17*100*I17</f>
        <v>0</v>
      </c>
      <c r="M17" s="4">
        <f>K17*100*J17</f>
        <v>0</v>
      </c>
      <c r="N17" s="4" t="str">
        <f>IF(O17="Win",M17,IF(O17="Loss",-L17,""))</f>
        <v/>
      </c>
      <c r="O17" s="4"/>
      <c r="P17" s="3"/>
      <c r="Q17" s="4">
        <f>IF(SUM(N$2:N17)="",Dashboard!B3,Dashboard!B3+SUM(N$2:N17))</f>
        <v>4972</v>
      </c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4"/>
      <c r="J18" s="4"/>
      <c r="K18" s="4"/>
      <c r="L18" s="4">
        <f>K18*100*I18</f>
        <v>0</v>
      </c>
      <c r="M18" s="4">
        <f>K18*100*J18</f>
        <v>0</v>
      </c>
      <c r="N18" s="4" t="str">
        <f>IF(O18="Win",M18,IF(O18="Loss",-L18,""))</f>
        <v/>
      </c>
      <c r="O18" s="4"/>
      <c r="P18" s="3"/>
      <c r="Q18" s="4">
        <f>IF(SUM(N$2:N18)="",Dashboard!B3,Dashboard!B3+SUM(N$2:N18))</f>
        <v>4972</v>
      </c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4"/>
      <c r="J19" s="4"/>
      <c r="K19" s="4"/>
      <c r="L19" s="4">
        <f>K19*100*I19</f>
        <v>0</v>
      </c>
      <c r="M19" s="4">
        <f>K19*100*J19</f>
        <v>0</v>
      </c>
      <c r="N19" s="4" t="str">
        <f>IF(O19="Win",M19,IF(O19="Loss",-L19,""))</f>
        <v/>
      </c>
      <c r="O19" s="4"/>
      <c r="P19" s="3"/>
      <c r="Q19" s="4">
        <f>IF(SUM(N$2:N19)="",Dashboard!B3,Dashboard!B3+SUM(N$2:N19))</f>
        <v>4972</v>
      </c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4"/>
      <c r="J20" s="4"/>
      <c r="K20" s="4"/>
      <c r="L20" s="4">
        <f>K20*100*I20</f>
        <v>0</v>
      </c>
      <c r="M20" s="4">
        <f>K20*100*J20</f>
        <v>0</v>
      </c>
      <c r="N20" s="4" t="str">
        <f>IF(O20="Win",M20,IF(O20="Loss",-L20,""))</f>
        <v/>
      </c>
      <c r="O20" s="4"/>
      <c r="P20" s="3"/>
      <c r="Q20" s="4">
        <f>IF(SUM(N$2:N20)="",Dashboard!B3,Dashboard!B3+SUM(N$2:N20))</f>
        <v>4972</v>
      </c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4"/>
      <c r="J21" s="4"/>
      <c r="K21" s="4"/>
      <c r="L21" s="4">
        <f>K21*100*I21</f>
        <v>0</v>
      </c>
      <c r="M21" s="4">
        <f>K21*100*J21</f>
        <v>0</v>
      </c>
      <c r="N21" s="4" t="str">
        <f>IF(O21="Win",M21,IF(O21="Loss",-L21,""))</f>
        <v/>
      </c>
      <c r="O21" s="4"/>
      <c r="P21" s="3"/>
      <c r="Q21" s="4">
        <f>IF(SUM(N$2:N21)="",Dashboard!B3,Dashboard!B3+SUM(N$2:N21))</f>
        <v>4972</v>
      </c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4"/>
      <c r="J22" s="4"/>
      <c r="K22" s="4"/>
      <c r="L22" s="4">
        <f>K22*100*I22</f>
        <v>0</v>
      </c>
      <c r="M22" s="4">
        <f>K22*100*J22</f>
        <v>0</v>
      </c>
      <c r="N22" s="4" t="str">
        <f>IF(O22="Win",M22,IF(O22="Loss",-L22,""))</f>
        <v/>
      </c>
      <c r="O22" s="4"/>
      <c r="P22" s="3"/>
      <c r="Q22" s="4">
        <f>IF(SUM(N$2:N22)="",Dashboard!B3,Dashboard!B3+SUM(N$2:N22))</f>
        <v>4972</v>
      </c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4"/>
      <c r="J23" s="4"/>
      <c r="K23" s="4"/>
      <c r="L23" s="4">
        <f>K23*100*I23</f>
        <v>0</v>
      </c>
      <c r="M23" s="4">
        <f>K23*100*J23</f>
        <v>0</v>
      </c>
      <c r="N23" s="4" t="str">
        <f>IF(O23="Win",M23,IF(O23="Loss",-L23,""))</f>
        <v/>
      </c>
      <c r="O23" s="4"/>
      <c r="P23" s="3"/>
      <c r="Q23" s="4">
        <f>IF(SUM(N$2:N23)="",Dashboard!B3,Dashboard!B3+SUM(N$2:N23))</f>
        <v>4972</v>
      </c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4"/>
      <c r="J24" s="4"/>
      <c r="K24" s="4"/>
      <c r="L24" s="4">
        <f>K24*100*I24</f>
        <v>0</v>
      </c>
      <c r="M24" s="4">
        <f>K24*100*J24</f>
        <v>0</v>
      </c>
      <c r="N24" s="4" t="str">
        <f>IF(O24="Win",M24,IF(O24="Loss",-L24,""))</f>
        <v/>
      </c>
      <c r="O24" s="4"/>
      <c r="P24" s="3"/>
      <c r="Q24" s="4">
        <f>IF(SUM(N$2:N24)="",Dashboard!B3,Dashboard!B3+SUM(N$2:N24))</f>
        <v>4972</v>
      </c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4"/>
      <c r="J25" s="4"/>
      <c r="K25" s="4"/>
      <c r="L25" s="4">
        <f>K25*100*I25</f>
        <v>0</v>
      </c>
      <c r="M25" s="4">
        <f>K25*100*J25</f>
        <v>0</v>
      </c>
      <c r="N25" s="4" t="str">
        <f>IF(O25="Win",M25,IF(O25="Loss",-L25,""))</f>
        <v/>
      </c>
      <c r="O25" s="4"/>
      <c r="P25" s="3"/>
      <c r="Q25" s="4">
        <f>IF(SUM(N$2:N25)="",Dashboard!B3,Dashboard!B3+SUM(N$2:N25))</f>
        <v>4972</v>
      </c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4"/>
      <c r="J26" s="4"/>
      <c r="K26" s="4"/>
      <c r="L26" s="4">
        <f>K26*100*I26</f>
        <v>0</v>
      </c>
      <c r="M26" s="4">
        <f>K26*100*J26</f>
        <v>0</v>
      </c>
      <c r="N26" s="4" t="str">
        <f>IF(O26="Win",M26,IF(O26="Loss",-L26,""))</f>
        <v/>
      </c>
      <c r="O26" s="4"/>
      <c r="P26" s="3"/>
      <c r="Q26" s="4">
        <f>IF(SUM(N$2:N26)="",Dashboard!B3,Dashboard!B3+SUM(N$2:N26))</f>
        <v>4972</v>
      </c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4"/>
      <c r="J27" s="4"/>
      <c r="K27" s="4"/>
      <c r="L27" s="4">
        <f>K27*100*I27</f>
        <v>0</v>
      </c>
      <c r="M27" s="4">
        <f>K27*100*J27</f>
        <v>0</v>
      </c>
      <c r="N27" s="4" t="str">
        <f>IF(O27="Win",M27,IF(O27="Loss",-L27,""))</f>
        <v/>
      </c>
      <c r="O27" s="4"/>
      <c r="P27" s="3"/>
      <c r="Q27" s="4">
        <f>IF(SUM(N$2:N27)="",Dashboard!B3,Dashboard!B3+SUM(N$2:N27))</f>
        <v>4972</v>
      </c>
      <c r="R27" s="3"/>
    </row>
    <row r="28" spans="1:18">
      <c r="A28" s="3"/>
      <c r="B28" s="3"/>
      <c r="C28" s="3"/>
      <c r="D28" s="3"/>
      <c r="E28" s="3"/>
      <c r="F28" s="3"/>
      <c r="G28" s="3"/>
      <c r="H28" s="3"/>
      <c r="I28" s="4"/>
      <c r="J28" s="4"/>
      <c r="K28" s="4"/>
      <c r="L28" s="4">
        <f>K28*100*I28</f>
        <v>0</v>
      </c>
      <c r="M28" s="4">
        <f>K28*100*J28</f>
        <v>0</v>
      </c>
      <c r="N28" s="4" t="str">
        <f>IF(O28="Win",M28,IF(O28="Loss",-L28,""))</f>
        <v/>
      </c>
      <c r="O28" s="4"/>
      <c r="P28" s="3"/>
      <c r="Q28" s="4">
        <f>IF(SUM(N$2:N28)="",Dashboard!B3,Dashboard!B3+SUM(N$2:N28))</f>
        <v>4972</v>
      </c>
      <c r="R28" s="3"/>
    </row>
    <row r="29" spans="1:18">
      <c r="A29" s="3"/>
      <c r="B29" s="3"/>
      <c r="C29" s="3"/>
      <c r="D29" s="3"/>
      <c r="E29" s="3"/>
      <c r="F29" s="3"/>
      <c r="G29" s="3"/>
      <c r="H29" s="3"/>
      <c r="I29" s="4"/>
      <c r="J29" s="4"/>
      <c r="K29" s="4"/>
      <c r="L29" s="4">
        <f>K29*100*I29</f>
        <v>0</v>
      </c>
      <c r="M29" s="4">
        <f>K29*100*J29</f>
        <v>0</v>
      </c>
      <c r="N29" s="4" t="str">
        <f>IF(O29="Win",M29,IF(O29="Loss",-L29,""))</f>
        <v/>
      </c>
      <c r="O29" s="4"/>
      <c r="P29" s="3"/>
      <c r="Q29" s="4">
        <f>IF(SUM(N$2:N29)="",Dashboard!B3,Dashboard!B3+SUM(N$2:N29))</f>
        <v>4972</v>
      </c>
      <c r="R29" s="3"/>
    </row>
    <row r="30" spans="1:18">
      <c r="A30" s="3"/>
      <c r="B30" s="3"/>
      <c r="C30" s="3"/>
      <c r="D30" s="3"/>
      <c r="E30" s="3"/>
      <c r="F30" s="3"/>
      <c r="G30" s="3"/>
      <c r="H30" s="3"/>
      <c r="I30" s="4"/>
      <c r="J30" s="4"/>
      <c r="K30" s="4"/>
      <c r="L30" s="4">
        <f>K30*100*I30</f>
        <v>0</v>
      </c>
      <c r="M30" s="4">
        <f>K30*100*J30</f>
        <v>0</v>
      </c>
      <c r="N30" s="4" t="str">
        <f>IF(O30="Win",M30,IF(O30="Loss",-L30,""))</f>
        <v/>
      </c>
      <c r="O30" s="4"/>
      <c r="P30" s="3"/>
      <c r="Q30" s="4">
        <f>IF(SUM(N$2:N30)="",Dashboard!B3,Dashboard!B3+SUM(N$2:N30))</f>
        <v>4972</v>
      </c>
      <c r="R30" s="3"/>
    </row>
    <row r="31" spans="1:18">
      <c r="A31" s="3"/>
      <c r="B31" s="3"/>
      <c r="C31" s="3"/>
      <c r="D31" s="3"/>
      <c r="E31" s="3"/>
      <c r="F31" s="3"/>
      <c r="G31" s="3"/>
      <c r="H31" s="3"/>
      <c r="I31" s="4"/>
      <c r="J31" s="4"/>
      <c r="K31" s="4"/>
      <c r="L31" s="4">
        <f>K31*100*I31</f>
        <v>0</v>
      </c>
      <c r="M31" s="4">
        <f>K31*100*J31</f>
        <v>0</v>
      </c>
      <c r="N31" s="4" t="str">
        <f>IF(O31="Win",M31,IF(O31="Loss",-L31,""))</f>
        <v/>
      </c>
      <c r="O31" s="4"/>
      <c r="P31" s="3"/>
      <c r="Q31" s="4">
        <f>IF(SUM(N$2:N31)="",Dashboard!B3,Dashboard!B3+SUM(N$2:N31))</f>
        <v>4972</v>
      </c>
      <c r="R31" s="3"/>
    </row>
    <row r="32" spans="1:18">
      <c r="A32" s="3"/>
      <c r="B32" s="3"/>
      <c r="C32" s="3"/>
      <c r="D32" s="3"/>
      <c r="E32" s="3"/>
      <c r="F32" s="3"/>
      <c r="G32" s="3"/>
      <c r="H32" s="3"/>
      <c r="I32" s="4"/>
      <c r="J32" s="4"/>
      <c r="K32" s="4"/>
      <c r="L32" s="4">
        <f>K32*100*I32</f>
        <v>0</v>
      </c>
      <c r="M32" s="4">
        <f>K32*100*J32</f>
        <v>0</v>
      </c>
      <c r="N32" s="4" t="str">
        <f>IF(O32="Win",M32,IF(O32="Loss",-L32,""))</f>
        <v/>
      </c>
      <c r="O32" s="4"/>
      <c r="P32" s="3"/>
      <c r="Q32" s="4">
        <f>IF(SUM(N$2:N32)="",Dashboard!B3,Dashboard!B3+SUM(N$2:N32))</f>
        <v>4972</v>
      </c>
      <c r="R32" s="3"/>
    </row>
    <row r="33" spans="1:18">
      <c r="A33" s="3"/>
      <c r="B33" s="3"/>
      <c r="C33" s="3"/>
      <c r="D33" s="3"/>
      <c r="E33" s="3"/>
      <c r="F33" s="3"/>
      <c r="G33" s="3"/>
      <c r="H33" s="3"/>
      <c r="I33" s="4"/>
      <c r="J33" s="4"/>
      <c r="K33" s="4"/>
      <c r="L33" s="4">
        <f>K33*100*I33</f>
        <v>0</v>
      </c>
      <c r="M33" s="4">
        <f>K33*100*J33</f>
        <v>0</v>
      </c>
      <c r="N33" s="4" t="str">
        <f>IF(O33="Win",M33,IF(O33="Loss",-L33,""))</f>
        <v/>
      </c>
      <c r="O33" s="4"/>
      <c r="P33" s="3"/>
      <c r="Q33" s="4">
        <f>IF(SUM(N$2:N33)="",Dashboard!B3,Dashboard!B3+SUM(N$2:N33))</f>
        <v>4972</v>
      </c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4"/>
      <c r="J34" s="4"/>
      <c r="K34" s="4"/>
      <c r="L34" s="4">
        <f>K34*100*I34</f>
        <v>0</v>
      </c>
      <c r="M34" s="4">
        <f>K34*100*J34</f>
        <v>0</v>
      </c>
      <c r="N34" s="4" t="str">
        <f>IF(O34="Win",M34,IF(O34="Loss",-L34,""))</f>
        <v/>
      </c>
      <c r="O34" s="4"/>
      <c r="P34" s="3"/>
      <c r="Q34" s="4">
        <f>IF(SUM(N$2:N34)="",Dashboard!B3,Dashboard!B3+SUM(N$2:N34))</f>
        <v>4972</v>
      </c>
      <c r="R34" s="3"/>
    </row>
    <row r="35" spans="1:18">
      <c r="A35" s="3"/>
      <c r="B35" s="3"/>
      <c r="C35" s="3"/>
      <c r="D35" s="3"/>
      <c r="E35" s="3"/>
      <c r="F35" s="3"/>
      <c r="G35" s="3"/>
      <c r="H35" s="3"/>
      <c r="I35" s="4"/>
      <c r="J35" s="4"/>
      <c r="K35" s="4"/>
      <c r="L35" s="4">
        <f>K35*100*I35</f>
        <v>0</v>
      </c>
      <c r="M35" s="4">
        <f>K35*100*J35</f>
        <v>0</v>
      </c>
      <c r="N35" s="4" t="str">
        <f>IF(O35="Win",M35,IF(O35="Loss",-L35,""))</f>
        <v/>
      </c>
      <c r="O35" s="4"/>
      <c r="P35" s="3"/>
      <c r="Q35" s="4">
        <f>IF(SUM(N$2:N35)="",Dashboard!B3,Dashboard!B3+SUM(N$2:N35))</f>
        <v>4972</v>
      </c>
      <c r="R35" s="3"/>
    </row>
    <row r="36" spans="1:18">
      <c r="A36" s="3"/>
      <c r="B36" s="3"/>
      <c r="C36" s="3"/>
      <c r="D36" s="3"/>
      <c r="E36" s="3"/>
      <c r="F36" s="3"/>
      <c r="G36" s="3"/>
      <c r="H36" s="3"/>
      <c r="I36" s="4"/>
      <c r="J36" s="4"/>
      <c r="K36" s="4"/>
      <c r="L36" s="4">
        <f>K36*100*I36</f>
        <v>0</v>
      </c>
      <c r="M36" s="4">
        <f>K36*100*J36</f>
        <v>0</v>
      </c>
      <c r="N36" s="4" t="str">
        <f>IF(O36="Win",M36,IF(O36="Loss",-L36,""))</f>
        <v/>
      </c>
      <c r="O36" s="4"/>
      <c r="P36" s="3"/>
      <c r="Q36" s="4">
        <f>IF(SUM(N$2:N36)="",Dashboard!B3,Dashboard!B3+SUM(N$2:N36))</f>
        <v>4972</v>
      </c>
      <c r="R36" s="3"/>
    </row>
    <row r="37" spans="1:18">
      <c r="A37" s="3"/>
      <c r="B37" s="3"/>
      <c r="C37" s="3"/>
      <c r="D37" s="3"/>
      <c r="E37" s="3"/>
      <c r="F37" s="3"/>
      <c r="G37" s="3"/>
      <c r="H37" s="3"/>
      <c r="I37" s="4"/>
      <c r="J37" s="4"/>
      <c r="K37" s="4"/>
      <c r="L37" s="4">
        <f>K37*100*I37</f>
        <v>0</v>
      </c>
      <c r="M37" s="4">
        <f>K37*100*J37</f>
        <v>0</v>
      </c>
      <c r="N37" s="4" t="str">
        <f>IF(O37="Win",M37,IF(O37="Loss",-L37,""))</f>
        <v/>
      </c>
      <c r="O37" s="4"/>
      <c r="P37" s="3"/>
      <c r="Q37" s="4">
        <f>IF(SUM(N$2:N37)="",Dashboard!B3,Dashboard!B3+SUM(N$2:N37))</f>
        <v>4972</v>
      </c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4"/>
      <c r="J38" s="4"/>
      <c r="K38" s="4"/>
      <c r="L38" s="4">
        <f>K38*100*I38</f>
        <v>0</v>
      </c>
      <c r="M38" s="4">
        <f>K38*100*J38</f>
        <v>0</v>
      </c>
      <c r="N38" s="4" t="str">
        <f>IF(O38="Win",M38,IF(O38="Loss",-L38,""))</f>
        <v/>
      </c>
      <c r="O38" s="4"/>
      <c r="P38" s="3"/>
      <c r="Q38" s="4">
        <f>IF(SUM(N$2:N38)="",Dashboard!B3,Dashboard!B3+SUM(N$2:N38))</f>
        <v>4972</v>
      </c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4"/>
      <c r="J39" s="4"/>
      <c r="K39" s="4"/>
      <c r="L39" s="4">
        <f>K39*100*I39</f>
        <v>0</v>
      </c>
      <c r="M39" s="4">
        <f>K39*100*J39</f>
        <v>0</v>
      </c>
      <c r="N39" s="4" t="str">
        <f>IF(O39="Win",M39,IF(O39="Loss",-L39,""))</f>
        <v/>
      </c>
      <c r="O39" s="4"/>
      <c r="P39" s="3"/>
      <c r="Q39" s="4">
        <f>IF(SUM(N$2:N39)="",Dashboard!B3,Dashboard!B3+SUM(N$2:N39))</f>
        <v>4972</v>
      </c>
      <c r="R39" s="3"/>
    </row>
    <row r="40" spans="1:18">
      <c r="A40" s="3"/>
      <c r="B40" s="3"/>
      <c r="C40" s="3"/>
      <c r="D40" s="3"/>
      <c r="E40" s="3"/>
      <c r="F40" s="3"/>
      <c r="G40" s="3"/>
      <c r="H40" s="3"/>
      <c r="I40" s="4"/>
      <c r="J40" s="4"/>
      <c r="K40" s="4"/>
      <c r="L40" s="4">
        <f>K40*100*I40</f>
        <v>0</v>
      </c>
      <c r="M40" s="4">
        <f>K40*100*J40</f>
        <v>0</v>
      </c>
      <c r="N40" s="4" t="str">
        <f>IF(O40="Win",M40,IF(O40="Loss",-L40,""))</f>
        <v/>
      </c>
      <c r="O40" s="4"/>
      <c r="P40" s="3"/>
      <c r="Q40" s="4">
        <f>IF(SUM(N$2:N40)="",Dashboard!B3,Dashboard!B3+SUM(N$2:N40))</f>
        <v>4972</v>
      </c>
      <c r="R40" s="3"/>
    </row>
    <row r="41" spans="1:18">
      <c r="A41" s="3"/>
      <c r="B41" s="3"/>
      <c r="C41" s="3"/>
      <c r="D41" s="3"/>
      <c r="E41" s="3"/>
      <c r="F41" s="3"/>
      <c r="G41" s="3"/>
      <c r="H41" s="3"/>
      <c r="I41" s="4"/>
      <c r="J41" s="4"/>
      <c r="K41" s="4"/>
      <c r="L41" s="4">
        <f>K41*100*I41</f>
        <v>0</v>
      </c>
      <c r="M41" s="4">
        <f>K41*100*J41</f>
        <v>0</v>
      </c>
      <c r="N41" s="4" t="str">
        <f>IF(O41="Win",M41,IF(O41="Loss",-L41,""))</f>
        <v/>
      </c>
      <c r="O41" s="4"/>
      <c r="P41" s="3"/>
      <c r="Q41" s="4">
        <f>IF(SUM(N$2:N41)="",Dashboard!B3,Dashboard!B3+SUM(N$2:N41))</f>
        <v>4972</v>
      </c>
      <c r="R41" s="3"/>
    </row>
    <row r="42" spans="1:18">
      <c r="A42" s="3"/>
      <c r="B42" s="3"/>
      <c r="C42" s="3"/>
      <c r="D42" s="3"/>
      <c r="E42" s="3"/>
      <c r="F42" s="3"/>
      <c r="G42" s="3"/>
      <c r="H42" s="3"/>
      <c r="I42" s="4"/>
      <c r="J42" s="4"/>
      <c r="K42" s="4"/>
      <c r="L42" s="4">
        <f>K42*100*I42</f>
        <v>0</v>
      </c>
      <c r="M42" s="4">
        <f>K42*100*J42</f>
        <v>0</v>
      </c>
      <c r="N42" s="4" t="str">
        <f>IF(O42="Win",M42,IF(O42="Loss",-L42,""))</f>
        <v/>
      </c>
      <c r="O42" s="4"/>
      <c r="P42" s="3"/>
      <c r="Q42" s="4">
        <f>IF(SUM(N$2:N42)="",Dashboard!B3,Dashboard!B3+SUM(N$2:N42))</f>
        <v>4972</v>
      </c>
      <c r="R42" s="3"/>
    </row>
    <row r="43" spans="1:18">
      <c r="A43" s="3"/>
      <c r="B43" s="3"/>
      <c r="C43" s="3"/>
      <c r="D43" s="3"/>
      <c r="E43" s="3"/>
      <c r="F43" s="3"/>
      <c r="G43" s="3"/>
      <c r="H43" s="3"/>
      <c r="I43" s="4"/>
      <c r="J43" s="4"/>
      <c r="K43" s="4"/>
      <c r="L43" s="4">
        <f>K43*100*I43</f>
        <v>0</v>
      </c>
      <c r="M43" s="4">
        <f>K43*100*J43</f>
        <v>0</v>
      </c>
      <c r="N43" s="4" t="str">
        <f>IF(O43="Win",M43,IF(O43="Loss",-L43,""))</f>
        <v/>
      </c>
      <c r="O43" s="4"/>
      <c r="P43" s="3"/>
      <c r="Q43" s="4">
        <f>IF(SUM(N$2:N43)="",Dashboard!B3,Dashboard!B3+SUM(N$2:N43))</f>
        <v>4972</v>
      </c>
      <c r="R43" s="3"/>
    </row>
    <row r="44" spans="1:18">
      <c r="A44" s="3"/>
      <c r="B44" s="3"/>
      <c r="C44" s="3"/>
      <c r="D44" s="3"/>
      <c r="E44" s="3"/>
      <c r="F44" s="3"/>
      <c r="G44" s="3"/>
      <c r="H44" s="3"/>
      <c r="I44" s="4"/>
      <c r="J44" s="4"/>
      <c r="K44" s="4"/>
      <c r="L44" s="4">
        <f>K44*100*I44</f>
        <v>0</v>
      </c>
      <c r="M44" s="4">
        <f>K44*100*J44</f>
        <v>0</v>
      </c>
      <c r="N44" s="4" t="str">
        <f>IF(O44="Win",M44,IF(O44="Loss",-L44,""))</f>
        <v/>
      </c>
      <c r="O44" s="4"/>
      <c r="P44" s="3"/>
      <c r="Q44" s="4">
        <f>IF(SUM(N$2:N44)="",Dashboard!B3,Dashboard!B3+SUM(N$2:N44))</f>
        <v>4972</v>
      </c>
      <c r="R44" s="3"/>
    </row>
    <row r="45" spans="1:18">
      <c r="A45" s="3"/>
      <c r="B45" s="3"/>
      <c r="C45" s="3"/>
      <c r="D45" s="3"/>
      <c r="E45" s="3"/>
      <c r="F45" s="3"/>
      <c r="G45" s="3"/>
      <c r="H45" s="3"/>
      <c r="I45" s="4"/>
      <c r="J45" s="4"/>
      <c r="K45" s="4"/>
      <c r="L45" s="4">
        <f>K45*100*I45</f>
        <v>0</v>
      </c>
      <c r="M45" s="4">
        <f>K45*100*J45</f>
        <v>0</v>
      </c>
      <c r="N45" s="4" t="str">
        <f>IF(O45="Win",M45,IF(O45="Loss",-L45,""))</f>
        <v/>
      </c>
      <c r="O45" s="4"/>
      <c r="P45" s="3"/>
      <c r="Q45" s="4">
        <f>IF(SUM(N$2:N45)="",Dashboard!B3,Dashboard!B3+SUM(N$2:N45))</f>
        <v>4972</v>
      </c>
      <c r="R45" s="3"/>
    </row>
    <row r="46" spans="1:18">
      <c r="A46" s="3"/>
      <c r="B46" s="3"/>
      <c r="C46" s="3"/>
      <c r="D46" s="3"/>
      <c r="E46" s="3"/>
      <c r="F46" s="3"/>
      <c r="G46" s="3"/>
      <c r="H46" s="3"/>
      <c r="I46" s="4"/>
      <c r="J46" s="4"/>
      <c r="K46" s="4"/>
      <c r="L46" s="4">
        <f>K46*100*I46</f>
        <v>0</v>
      </c>
      <c r="M46" s="4">
        <f>K46*100*J46</f>
        <v>0</v>
      </c>
      <c r="N46" s="4" t="str">
        <f>IF(O46="Win",M46,IF(O46="Loss",-L46,""))</f>
        <v/>
      </c>
      <c r="O46" s="4"/>
      <c r="P46" s="3"/>
      <c r="Q46" s="4">
        <f>IF(SUM(N$2:N46)="",Dashboard!B3,Dashboard!B3+SUM(N$2:N46))</f>
        <v>4972</v>
      </c>
      <c r="R46" s="3"/>
    </row>
    <row r="47" spans="1:18">
      <c r="A47" s="3"/>
      <c r="B47" s="3"/>
      <c r="C47" s="3"/>
      <c r="D47" s="3"/>
      <c r="E47" s="3"/>
      <c r="F47" s="3"/>
      <c r="G47" s="3"/>
      <c r="H47" s="3"/>
      <c r="I47" s="4"/>
      <c r="J47" s="4"/>
      <c r="K47" s="4"/>
      <c r="L47" s="4">
        <f>K47*100*I47</f>
        <v>0</v>
      </c>
      <c r="M47" s="4">
        <f>K47*100*J47</f>
        <v>0</v>
      </c>
      <c r="N47" s="4" t="str">
        <f>IF(O47="Win",M47,IF(O47="Loss",-L47,""))</f>
        <v/>
      </c>
      <c r="O47" s="4"/>
      <c r="P47" s="3"/>
      <c r="Q47" s="4">
        <f>IF(SUM(N$2:N47)="",Dashboard!B3,Dashboard!B3+SUM(N$2:N47))</f>
        <v>4972</v>
      </c>
      <c r="R47" s="3"/>
    </row>
    <row r="48" spans="1:18">
      <c r="A48" s="3"/>
      <c r="B48" s="3"/>
      <c r="C48" s="3"/>
      <c r="D48" s="3"/>
      <c r="E48" s="3"/>
      <c r="F48" s="3"/>
      <c r="G48" s="3"/>
      <c r="H48" s="3"/>
      <c r="I48" s="4"/>
      <c r="J48" s="4"/>
      <c r="K48" s="4"/>
      <c r="L48" s="4">
        <f>K48*100*I48</f>
        <v>0</v>
      </c>
      <c r="M48" s="4">
        <f>K48*100*J48</f>
        <v>0</v>
      </c>
      <c r="N48" s="4" t="str">
        <f>IF(O48="Win",M48,IF(O48="Loss",-L48,""))</f>
        <v/>
      </c>
      <c r="O48" s="4"/>
      <c r="P48" s="3"/>
      <c r="Q48" s="4">
        <f>IF(SUM(N$2:N48)="",Dashboard!B3,Dashboard!B3+SUM(N$2:N48))</f>
        <v>4972</v>
      </c>
      <c r="R48" s="3"/>
    </row>
    <row r="49" spans="1:18">
      <c r="A49" s="3"/>
      <c r="B49" s="3"/>
      <c r="C49" s="3"/>
      <c r="D49" s="3"/>
      <c r="E49" s="3"/>
      <c r="F49" s="3"/>
      <c r="G49" s="3"/>
      <c r="H49" s="3"/>
      <c r="I49" s="4"/>
      <c r="J49" s="4"/>
      <c r="K49" s="4"/>
      <c r="L49" s="4">
        <f>K49*100*I49</f>
        <v>0</v>
      </c>
      <c r="M49" s="4">
        <f>K49*100*J49</f>
        <v>0</v>
      </c>
      <c r="N49" s="4" t="str">
        <f>IF(O49="Win",M49,IF(O49="Loss",-L49,""))</f>
        <v/>
      </c>
      <c r="O49" s="4"/>
      <c r="P49" s="3"/>
      <c r="Q49" s="4">
        <f>IF(SUM(N$2:N49)="",Dashboard!B3,Dashboard!B3+SUM(N$2:N49))</f>
        <v>4972</v>
      </c>
      <c r="R49" s="3"/>
    </row>
    <row r="50" spans="1:18">
      <c r="A50" s="3"/>
      <c r="B50" s="3"/>
      <c r="C50" s="3"/>
      <c r="D50" s="3"/>
      <c r="E50" s="3"/>
      <c r="F50" s="3"/>
      <c r="G50" s="3"/>
      <c r="H50" s="3"/>
      <c r="I50" s="4"/>
      <c r="J50" s="4"/>
      <c r="K50" s="4"/>
      <c r="L50" s="4">
        <f>K50*100*I50</f>
        <v>0</v>
      </c>
      <c r="M50" s="4">
        <f>K50*100*J50</f>
        <v>0</v>
      </c>
      <c r="N50" s="4" t="str">
        <f>IF(O50="Win",M50,IF(O50="Loss",-L50,""))</f>
        <v/>
      </c>
      <c r="O50" s="4"/>
      <c r="P50" s="3"/>
      <c r="Q50" s="4">
        <f>IF(SUM(N$2:N50)="",Dashboard!B3,Dashboard!B3+SUM(N$2:N50))</f>
        <v>4972</v>
      </c>
      <c r="R50" s="3"/>
    </row>
    <row r="51" spans="1:18">
      <c r="A51" s="3"/>
      <c r="B51" s="3"/>
      <c r="C51" s="3"/>
      <c r="D51" s="3"/>
      <c r="E51" s="3"/>
      <c r="F51" s="3"/>
      <c r="G51" s="3"/>
      <c r="H51" s="3"/>
      <c r="I51" s="4"/>
      <c r="J51" s="4"/>
      <c r="K51" s="4"/>
      <c r="L51" s="4">
        <f>K51*100*I51</f>
        <v>0</v>
      </c>
      <c r="M51" s="4">
        <f>K51*100*J51</f>
        <v>0</v>
      </c>
      <c r="N51" s="4" t="str">
        <f>IF(O51="Win",M51,IF(O51="Loss",-L51,""))</f>
        <v/>
      </c>
      <c r="O51" s="4"/>
      <c r="P51" s="3"/>
      <c r="Q51" s="4">
        <f>IF(SUM(N$2:N51)="",Dashboard!B3,Dashboard!B3+SUM(N$2:N51))</f>
        <v>4972</v>
      </c>
      <c r="R51" s="3"/>
    </row>
    <row r="52" spans="1:18">
      <c r="A52" s="3"/>
      <c r="B52" s="3"/>
      <c r="C52" s="3"/>
      <c r="D52" s="3"/>
      <c r="E52" s="3"/>
      <c r="F52" s="3"/>
      <c r="G52" s="3"/>
      <c r="H52" s="3"/>
      <c r="I52" s="4"/>
      <c r="J52" s="4"/>
      <c r="K52" s="4"/>
      <c r="L52" s="4">
        <f>K52*100*I52</f>
        <v>0</v>
      </c>
      <c r="M52" s="4">
        <f>K52*100*J52</f>
        <v>0</v>
      </c>
      <c r="N52" s="4" t="str">
        <f>IF(O52="Win",M52,IF(O52="Loss",-L52,""))</f>
        <v/>
      </c>
      <c r="O52" s="4"/>
      <c r="P52" s="3"/>
      <c r="Q52" s="4">
        <f>IF(SUM(N$2:N52)="",Dashboard!B3,Dashboard!B3+SUM(N$2:N52))</f>
        <v>4972</v>
      </c>
      <c r="R52" s="3"/>
    </row>
    <row r="53" spans="1:18">
      <c r="A53" s="3"/>
      <c r="B53" s="3"/>
      <c r="C53" s="3"/>
      <c r="D53" s="3"/>
      <c r="E53" s="3"/>
      <c r="F53" s="3"/>
      <c r="G53" s="3"/>
      <c r="H53" s="3"/>
      <c r="I53" s="4"/>
      <c r="J53" s="4"/>
      <c r="K53" s="4"/>
      <c r="L53" s="4">
        <f>K53*100*I53</f>
        <v>0</v>
      </c>
      <c r="M53" s="4">
        <f>K53*100*J53</f>
        <v>0</v>
      </c>
      <c r="N53" s="4" t="str">
        <f>IF(O53="Win",M53,IF(O53="Loss",-L53,""))</f>
        <v/>
      </c>
      <c r="O53" s="4"/>
      <c r="P53" s="3"/>
      <c r="Q53" s="4">
        <f>IF(SUM(N$2:N53)="",Dashboard!B3,Dashboard!B3+SUM(N$2:N53))</f>
        <v>4972</v>
      </c>
      <c r="R53" s="3"/>
    </row>
    <row r="54" spans="1:18">
      <c r="A54" s="3"/>
      <c r="B54" s="3"/>
      <c r="C54" s="3"/>
      <c r="D54" s="3"/>
      <c r="E54" s="3"/>
      <c r="F54" s="3"/>
      <c r="G54" s="3"/>
      <c r="H54" s="3"/>
      <c r="I54" s="4"/>
      <c r="J54" s="4"/>
      <c r="K54" s="4"/>
      <c r="L54" s="4">
        <f>K54*100*I54</f>
        <v>0</v>
      </c>
      <c r="M54" s="4">
        <f>K54*100*J54</f>
        <v>0</v>
      </c>
      <c r="N54" s="4" t="str">
        <f>IF(O54="Win",M54,IF(O54="Loss",-L54,""))</f>
        <v/>
      </c>
      <c r="O54" s="4"/>
      <c r="P54" s="3"/>
      <c r="Q54" s="4">
        <f>IF(SUM(N$2:N54)="",Dashboard!B3,Dashboard!B3+SUM(N$2:N54))</f>
        <v>4972</v>
      </c>
      <c r="R54" s="3"/>
    </row>
    <row r="55" spans="1:18">
      <c r="A55" s="3"/>
      <c r="B55" s="3"/>
      <c r="C55" s="3"/>
      <c r="D55" s="3"/>
      <c r="E55" s="3"/>
      <c r="F55" s="3"/>
      <c r="G55" s="3"/>
      <c r="H55" s="3"/>
      <c r="I55" s="4"/>
      <c r="J55" s="4"/>
      <c r="K55" s="4"/>
      <c r="L55" s="4">
        <f>K55*100*I55</f>
        <v>0</v>
      </c>
      <c r="M55" s="4">
        <f>K55*100*J55</f>
        <v>0</v>
      </c>
      <c r="N55" s="4" t="str">
        <f>IF(O55="Win",M55,IF(O55="Loss",-L55,""))</f>
        <v/>
      </c>
      <c r="O55" s="4"/>
      <c r="P55" s="3"/>
      <c r="Q55" s="4">
        <f>IF(SUM(N$2:N55)="",Dashboard!B3,Dashboard!B3+SUM(N$2:N55))</f>
        <v>4972</v>
      </c>
      <c r="R55" s="3"/>
    </row>
    <row r="56" spans="1:18">
      <c r="A56" s="3"/>
      <c r="B56" s="3"/>
      <c r="C56" s="3"/>
      <c r="D56" s="3"/>
      <c r="E56" s="3"/>
      <c r="F56" s="3"/>
      <c r="G56" s="3"/>
      <c r="H56" s="3"/>
      <c r="I56" s="4"/>
      <c r="J56" s="4"/>
      <c r="K56" s="4"/>
      <c r="L56" s="4">
        <f>K56*100*I56</f>
        <v>0</v>
      </c>
      <c r="M56" s="4">
        <f>K56*100*J56</f>
        <v>0</v>
      </c>
      <c r="N56" s="4" t="str">
        <f>IF(O56="Win",M56,IF(O56="Loss",-L56,""))</f>
        <v/>
      </c>
      <c r="O56" s="4"/>
      <c r="P56" s="3"/>
      <c r="Q56" s="4">
        <f>IF(SUM(N$2:N56)="",Dashboard!B3,Dashboard!B3+SUM(N$2:N56))</f>
        <v>4972</v>
      </c>
      <c r="R56" s="3"/>
    </row>
    <row r="57" spans="1:18">
      <c r="A57" s="3"/>
      <c r="B57" s="3"/>
      <c r="C57" s="3"/>
      <c r="D57" s="3"/>
      <c r="E57" s="3"/>
      <c r="F57" s="3"/>
      <c r="G57" s="3"/>
      <c r="H57" s="3"/>
      <c r="I57" s="4"/>
      <c r="J57" s="4"/>
      <c r="K57" s="4"/>
      <c r="L57" s="4">
        <f>K57*100*I57</f>
        <v>0</v>
      </c>
      <c r="M57" s="4">
        <f>K57*100*J57</f>
        <v>0</v>
      </c>
      <c r="N57" s="4" t="str">
        <f>IF(O57="Win",M57,IF(O57="Loss",-L57,""))</f>
        <v/>
      </c>
      <c r="O57" s="4"/>
      <c r="P57" s="3"/>
      <c r="Q57" s="4">
        <f>IF(SUM(N$2:N57)="",Dashboard!B3,Dashboard!B3+SUM(N$2:N57))</f>
        <v>4972</v>
      </c>
      <c r="R57" s="3"/>
    </row>
    <row r="58" spans="1:18">
      <c r="A58" s="3"/>
      <c r="B58" s="3"/>
      <c r="C58" s="3"/>
      <c r="D58" s="3"/>
      <c r="E58" s="3"/>
      <c r="F58" s="3"/>
      <c r="G58" s="3"/>
      <c r="H58" s="3"/>
      <c r="I58" s="4"/>
      <c r="J58" s="4"/>
      <c r="K58" s="4"/>
      <c r="L58" s="4">
        <f>K58*100*I58</f>
        <v>0</v>
      </c>
      <c r="M58" s="4">
        <f>K58*100*J58</f>
        <v>0</v>
      </c>
      <c r="N58" s="4" t="str">
        <f>IF(O58="Win",M58,IF(O58="Loss",-L58,""))</f>
        <v/>
      </c>
      <c r="O58" s="4"/>
      <c r="P58" s="3"/>
      <c r="Q58" s="4">
        <f>IF(SUM(N$2:N58)="",Dashboard!B3,Dashboard!B3+SUM(N$2:N58))</f>
        <v>4972</v>
      </c>
      <c r="R58" s="3"/>
    </row>
    <row r="59" spans="1:18">
      <c r="A59" s="3"/>
      <c r="B59" s="3"/>
      <c r="C59" s="3"/>
      <c r="D59" s="3"/>
      <c r="E59" s="3"/>
      <c r="F59" s="3"/>
      <c r="G59" s="3"/>
      <c r="H59" s="3"/>
      <c r="I59" s="4"/>
      <c r="J59" s="4"/>
      <c r="K59" s="4"/>
      <c r="L59" s="4">
        <f>K59*100*I59</f>
        <v>0</v>
      </c>
      <c r="M59" s="4">
        <f>K59*100*J59</f>
        <v>0</v>
      </c>
      <c r="N59" s="4" t="str">
        <f>IF(O59="Win",M59,IF(O59="Loss",-L59,""))</f>
        <v/>
      </c>
      <c r="O59" s="4"/>
      <c r="P59" s="3"/>
      <c r="Q59" s="4">
        <f>IF(SUM(N$2:N59)="",Dashboard!B3,Dashboard!B3+SUM(N$2:N59))</f>
        <v>4972</v>
      </c>
      <c r="R59" s="3"/>
    </row>
    <row r="60" spans="1:18">
      <c r="A60" s="3"/>
      <c r="B60" s="3"/>
      <c r="C60" s="3"/>
      <c r="D60" s="3"/>
      <c r="E60" s="3"/>
      <c r="F60" s="3"/>
      <c r="G60" s="3"/>
      <c r="H60" s="3"/>
      <c r="I60" s="4"/>
      <c r="J60" s="4"/>
      <c r="K60" s="4"/>
      <c r="L60" s="4">
        <f>K60*100*I60</f>
        <v>0</v>
      </c>
      <c r="M60" s="4">
        <f>K60*100*J60</f>
        <v>0</v>
      </c>
      <c r="N60" s="4" t="str">
        <f>IF(O60="Win",M60,IF(O60="Loss",-L60,""))</f>
        <v/>
      </c>
      <c r="O60" s="4"/>
      <c r="P60" s="3"/>
      <c r="Q60" s="4">
        <f>IF(SUM(N$2:N60)="",Dashboard!B3,Dashboard!B3+SUM(N$2:N60))</f>
        <v>4972</v>
      </c>
      <c r="R60" s="3"/>
    </row>
    <row r="61" spans="1:18">
      <c r="A61" s="3"/>
      <c r="B61" s="3"/>
      <c r="C61" s="3"/>
      <c r="D61" s="3"/>
      <c r="E61" s="3"/>
      <c r="F61" s="3"/>
      <c r="G61" s="3"/>
      <c r="H61" s="3"/>
      <c r="I61" s="4"/>
      <c r="J61" s="4"/>
      <c r="K61" s="4"/>
      <c r="L61" s="4">
        <f>K61*100*I61</f>
        <v>0</v>
      </c>
      <c r="M61" s="4">
        <f>K61*100*J61</f>
        <v>0</v>
      </c>
      <c r="N61" s="4" t="str">
        <f>IF(O61="Win",M61,IF(O61="Loss",-L61,""))</f>
        <v/>
      </c>
      <c r="O61" s="4"/>
      <c r="P61" s="3"/>
      <c r="Q61" s="4">
        <f>IF(SUM(N$2:N61)="",Dashboard!B3,Dashboard!B3+SUM(N$2:N61))</f>
        <v>4972</v>
      </c>
      <c r="R61" s="3"/>
    </row>
    <row r="62" spans="1:18">
      <c r="A62" s="3"/>
      <c r="B62" s="3"/>
      <c r="C62" s="3"/>
      <c r="D62" s="3"/>
      <c r="E62" s="3"/>
      <c r="F62" s="3"/>
      <c r="G62" s="3"/>
      <c r="H62" s="3"/>
      <c r="I62" s="4"/>
      <c r="J62" s="4"/>
      <c r="K62" s="4"/>
      <c r="L62" s="4">
        <f>K62*100*I62</f>
        <v>0</v>
      </c>
      <c r="M62" s="4">
        <f>K62*100*J62</f>
        <v>0</v>
      </c>
      <c r="N62" s="4" t="str">
        <f>IF(O62="Win",M62,IF(O62="Loss",-L62,""))</f>
        <v/>
      </c>
      <c r="O62" s="4"/>
      <c r="P62" s="3"/>
      <c r="Q62" s="4">
        <f>IF(SUM(N$2:N62)="",Dashboard!B3,Dashboard!B3+SUM(N$2:N62))</f>
        <v>4972</v>
      </c>
      <c r="R62" s="3"/>
    </row>
    <row r="63" spans="1:18">
      <c r="A63" s="3"/>
      <c r="B63" s="3"/>
      <c r="C63" s="3"/>
      <c r="D63" s="3"/>
      <c r="E63" s="3"/>
      <c r="F63" s="3"/>
      <c r="G63" s="3"/>
      <c r="H63" s="3"/>
      <c r="I63" s="4"/>
      <c r="J63" s="4"/>
      <c r="K63" s="4"/>
      <c r="L63" s="4">
        <f>K63*100*I63</f>
        <v>0</v>
      </c>
      <c r="M63" s="4">
        <f>K63*100*J63</f>
        <v>0</v>
      </c>
      <c r="N63" s="4" t="str">
        <f>IF(O63="Win",M63,IF(O63="Loss",-L63,""))</f>
        <v/>
      </c>
      <c r="O63" s="4"/>
      <c r="P63" s="3"/>
      <c r="Q63" s="4">
        <f>IF(SUM(N$2:N63)="",Dashboard!B3,Dashboard!B3+SUM(N$2:N63))</f>
        <v>4972</v>
      </c>
      <c r="R63" s="3"/>
    </row>
    <row r="64" spans="1:18">
      <c r="A64" s="3"/>
      <c r="B64" s="3"/>
      <c r="C64" s="3"/>
      <c r="D64" s="3"/>
      <c r="E64" s="3"/>
      <c r="F64" s="3"/>
      <c r="G64" s="3"/>
      <c r="H64" s="3"/>
      <c r="I64" s="4"/>
      <c r="J64" s="4"/>
      <c r="K64" s="4"/>
      <c r="L64" s="4">
        <f>K64*100*I64</f>
        <v>0</v>
      </c>
      <c r="M64" s="4">
        <f>K64*100*J64</f>
        <v>0</v>
      </c>
      <c r="N64" s="4" t="str">
        <f>IF(O64="Win",M64,IF(O64="Loss",-L64,""))</f>
        <v/>
      </c>
      <c r="O64" s="4"/>
      <c r="P64" s="3"/>
      <c r="Q64" s="4">
        <f>IF(SUM(N$2:N64)="",Dashboard!B3,Dashboard!B3+SUM(N$2:N64))</f>
        <v>4972</v>
      </c>
      <c r="R64" s="3"/>
    </row>
    <row r="65" spans="1:18">
      <c r="A65" s="3"/>
      <c r="B65" s="3"/>
      <c r="C65" s="3"/>
      <c r="D65" s="3"/>
      <c r="E65" s="3"/>
      <c r="F65" s="3"/>
      <c r="G65" s="3"/>
      <c r="H65" s="3"/>
      <c r="I65" s="4"/>
      <c r="J65" s="4"/>
      <c r="K65" s="4"/>
      <c r="L65" s="4">
        <f>K65*100*I65</f>
        <v>0</v>
      </c>
      <c r="M65" s="4">
        <f>K65*100*J65</f>
        <v>0</v>
      </c>
      <c r="N65" s="4" t="str">
        <f>IF(O65="Win",M65,IF(O65="Loss",-L65,""))</f>
        <v/>
      </c>
      <c r="O65" s="4"/>
      <c r="P65" s="3"/>
      <c r="Q65" s="4">
        <f>IF(SUM(N$2:N65)="",Dashboard!B3,Dashboard!B3+SUM(N$2:N65))</f>
        <v>4972</v>
      </c>
      <c r="R65" s="3"/>
    </row>
    <row r="66" spans="1:18">
      <c r="A66" s="3"/>
      <c r="B66" s="3"/>
      <c r="C66" s="3"/>
      <c r="D66" s="3"/>
      <c r="E66" s="3"/>
      <c r="F66" s="3"/>
      <c r="G66" s="3"/>
      <c r="H66" s="3"/>
      <c r="I66" s="4"/>
      <c r="J66" s="4"/>
      <c r="K66" s="4"/>
      <c r="L66" s="4">
        <f>K66*100*I66</f>
        <v>0</v>
      </c>
      <c r="M66" s="4">
        <f>K66*100*J66</f>
        <v>0</v>
      </c>
      <c r="N66" s="4" t="str">
        <f>IF(O66="Win",M66,IF(O66="Loss",-L66,""))</f>
        <v/>
      </c>
      <c r="O66" s="4"/>
      <c r="P66" s="3"/>
      <c r="Q66" s="4">
        <f>IF(SUM(N$2:N66)="",Dashboard!B3,Dashboard!B3+SUM(N$2:N66))</f>
        <v>4972</v>
      </c>
      <c r="R66" s="3"/>
    </row>
    <row r="67" spans="1:18">
      <c r="A67" s="3"/>
      <c r="B67" s="3"/>
      <c r="C67" s="3"/>
      <c r="D67" s="3"/>
      <c r="E67" s="3"/>
      <c r="F67" s="3"/>
      <c r="G67" s="3"/>
      <c r="H67" s="3"/>
      <c r="I67" s="4"/>
      <c r="J67" s="4"/>
      <c r="K67" s="4"/>
      <c r="L67" s="4">
        <f>K67*100*I67</f>
        <v>0</v>
      </c>
      <c r="M67" s="4">
        <f>K67*100*J67</f>
        <v>0</v>
      </c>
      <c r="N67" s="4" t="str">
        <f>IF(O67="Win",M67,IF(O67="Loss",-L67,""))</f>
        <v/>
      </c>
      <c r="O67" s="4"/>
      <c r="P67" s="3"/>
      <c r="Q67" s="4">
        <f>IF(SUM(N$2:N67)="",Dashboard!B3,Dashboard!B3+SUM(N$2:N67))</f>
        <v>4972</v>
      </c>
      <c r="R67" s="3"/>
    </row>
    <row r="68" spans="1:18">
      <c r="A68" s="3"/>
      <c r="B68" s="3"/>
      <c r="C68" s="3"/>
      <c r="D68" s="3"/>
      <c r="E68" s="3"/>
      <c r="F68" s="3"/>
      <c r="G68" s="3"/>
      <c r="H68" s="3"/>
      <c r="I68" s="4"/>
      <c r="J68" s="4"/>
      <c r="K68" s="4"/>
      <c r="L68" s="4">
        <f>K68*100*I68</f>
        <v>0</v>
      </c>
      <c r="M68" s="4">
        <f>K68*100*J68</f>
        <v>0</v>
      </c>
      <c r="N68" s="4" t="str">
        <f>IF(O68="Win",M68,IF(O68="Loss",-L68,""))</f>
        <v/>
      </c>
      <c r="O68" s="4"/>
      <c r="P68" s="3"/>
      <c r="Q68" s="4">
        <f>IF(SUM(N$2:N68)="",Dashboard!B3,Dashboard!B3+SUM(N$2:N68))</f>
        <v>4972</v>
      </c>
      <c r="R68" s="3"/>
    </row>
    <row r="69" spans="1:18">
      <c r="A69" s="3"/>
      <c r="B69" s="3"/>
      <c r="C69" s="3"/>
      <c r="D69" s="3"/>
      <c r="E69" s="3"/>
      <c r="F69" s="3"/>
      <c r="G69" s="3"/>
      <c r="H69" s="3"/>
      <c r="I69" s="4"/>
      <c r="J69" s="4"/>
      <c r="K69" s="4"/>
      <c r="L69" s="4">
        <f>K69*100*I69</f>
        <v>0</v>
      </c>
      <c r="M69" s="4">
        <f>K69*100*J69</f>
        <v>0</v>
      </c>
      <c r="N69" s="4" t="str">
        <f>IF(O69="Win",M69,IF(O69="Loss",-L69,""))</f>
        <v/>
      </c>
      <c r="O69" s="4"/>
      <c r="P69" s="3"/>
      <c r="Q69" s="4">
        <f>IF(SUM(N$2:N69)="",Dashboard!B3,Dashboard!B3+SUM(N$2:N69))</f>
        <v>4972</v>
      </c>
      <c r="R69" s="3"/>
    </row>
    <row r="70" spans="1:18">
      <c r="A70" s="3"/>
      <c r="B70" s="3"/>
      <c r="C70" s="3"/>
      <c r="D70" s="3"/>
      <c r="E70" s="3"/>
      <c r="F70" s="3"/>
      <c r="G70" s="3"/>
      <c r="H70" s="3"/>
      <c r="I70" s="4"/>
      <c r="J70" s="4"/>
      <c r="K70" s="4"/>
      <c r="L70" s="4">
        <f>K70*100*I70</f>
        <v>0</v>
      </c>
      <c r="M70" s="4">
        <f>K70*100*J70</f>
        <v>0</v>
      </c>
      <c r="N70" s="4" t="str">
        <f>IF(O70="Win",M70,IF(O70="Loss",-L70,""))</f>
        <v/>
      </c>
      <c r="O70" s="4"/>
      <c r="P70" s="3"/>
      <c r="Q70" s="4">
        <f>IF(SUM(N$2:N70)="",Dashboard!B3,Dashboard!B3+SUM(N$2:N70))</f>
        <v>4972</v>
      </c>
      <c r="R70" s="3"/>
    </row>
    <row r="71" spans="1:18">
      <c r="A71" s="3"/>
      <c r="B71" s="3"/>
      <c r="C71" s="3"/>
      <c r="D71" s="3"/>
      <c r="E71" s="3"/>
      <c r="F71" s="3"/>
      <c r="G71" s="3"/>
      <c r="H71" s="3"/>
      <c r="I71" s="4"/>
      <c r="J71" s="4"/>
      <c r="K71" s="4"/>
      <c r="L71" s="4">
        <f>K71*100*I71</f>
        <v>0</v>
      </c>
      <c r="M71" s="4">
        <f>K71*100*J71</f>
        <v>0</v>
      </c>
      <c r="N71" s="4" t="str">
        <f>IF(O71="Win",M71,IF(O71="Loss",-L71,""))</f>
        <v/>
      </c>
      <c r="O71" s="4"/>
      <c r="P71" s="3"/>
      <c r="Q71" s="4">
        <f>IF(SUM(N$2:N71)="",Dashboard!B3,Dashboard!B3+SUM(N$2:N71))</f>
        <v>4972</v>
      </c>
      <c r="R71" s="3"/>
    </row>
    <row r="72" spans="1:18">
      <c r="A72" s="3"/>
      <c r="B72" s="3"/>
      <c r="C72" s="3"/>
      <c r="D72" s="3"/>
      <c r="E72" s="3"/>
      <c r="F72" s="3"/>
      <c r="G72" s="3"/>
      <c r="H72" s="3"/>
      <c r="I72" s="4"/>
      <c r="J72" s="4"/>
      <c r="K72" s="4"/>
      <c r="L72" s="4">
        <f>K72*100*I72</f>
        <v>0</v>
      </c>
      <c r="M72" s="4">
        <f>K72*100*J72</f>
        <v>0</v>
      </c>
      <c r="N72" s="4" t="str">
        <f>IF(O72="Win",M72,IF(O72="Loss",-L72,""))</f>
        <v/>
      </c>
      <c r="O72" s="4"/>
      <c r="P72" s="3"/>
      <c r="Q72" s="4">
        <f>IF(SUM(N$2:N72)="",Dashboard!B3,Dashboard!B3+SUM(N$2:N72))</f>
        <v>4972</v>
      </c>
      <c r="R72" s="3"/>
    </row>
    <row r="73" spans="1:18">
      <c r="A73" s="3"/>
      <c r="B73" s="3"/>
      <c r="C73" s="3"/>
      <c r="D73" s="3"/>
      <c r="E73" s="3"/>
      <c r="F73" s="3"/>
      <c r="G73" s="3"/>
      <c r="H73" s="3"/>
      <c r="I73" s="4"/>
      <c r="J73" s="4"/>
      <c r="K73" s="4"/>
      <c r="L73" s="4">
        <f>K73*100*I73</f>
        <v>0</v>
      </c>
      <c r="M73" s="4">
        <f>K73*100*J73</f>
        <v>0</v>
      </c>
      <c r="N73" s="4" t="str">
        <f>IF(O73="Win",M73,IF(O73="Loss",-L73,""))</f>
        <v/>
      </c>
      <c r="O73" s="4"/>
      <c r="P73" s="3"/>
      <c r="Q73" s="4">
        <f>IF(SUM(N$2:N73)="",Dashboard!B3,Dashboard!B3+SUM(N$2:N73))</f>
        <v>4972</v>
      </c>
      <c r="R73" s="3"/>
    </row>
    <row r="74" spans="1:18">
      <c r="A74" s="3"/>
      <c r="B74" s="3"/>
      <c r="C74" s="3"/>
      <c r="D74" s="3"/>
      <c r="E74" s="3"/>
      <c r="F74" s="3"/>
      <c r="G74" s="3"/>
      <c r="H74" s="3"/>
      <c r="I74" s="4"/>
      <c r="J74" s="4"/>
      <c r="K74" s="4"/>
      <c r="L74" s="4">
        <f>K74*100*I74</f>
        <v>0</v>
      </c>
      <c r="M74" s="4">
        <f>K74*100*J74</f>
        <v>0</v>
      </c>
      <c r="N74" s="4" t="str">
        <f>IF(O74="Win",M74,IF(O74="Loss",-L74,""))</f>
        <v/>
      </c>
      <c r="O74" s="4"/>
      <c r="P74" s="3"/>
      <c r="Q74" s="4">
        <f>IF(SUM(N$2:N74)="",Dashboard!B3,Dashboard!B3+SUM(N$2:N74))</f>
        <v>4972</v>
      </c>
      <c r="R74" s="3"/>
    </row>
    <row r="75" spans="1:18">
      <c r="A75" s="3"/>
      <c r="B75" s="3"/>
      <c r="C75" s="3"/>
      <c r="D75" s="3"/>
      <c r="E75" s="3"/>
      <c r="F75" s="3"/>
      <c r="G75" s="3"/>
      <c r="H75" s="3"/>
      <c r="I75" s="4"/>
      <c r="J75" s="4"/>
      <c r="K75" s="4"/>
      <c r="L75" s="4">
        <f>K75*100*I75</f>
        <v>0</v>
      </c>
      <c r="M75" s="4">
        <f>K75*100*J75</f>
        <v>0</v>
      </c>
      <c r="N75" s="4" t="str">
        <f>IF(O75="Win",M75,IF(O75="Loss",-L75,""))</f>
        <v/>
      </c>
      <c r="O75" s="4"/>
      <c r="P75" s="3"/>
      <c r="Q75" s="4">
        <f>IF(SUM(N$2:N75)="",Dashboard!B3,Dashboard!B3+SUM(N$2:N75))</f>
        <v>4972</v>
      </c>
      <c r="R75" s="3"/>
    </row>
    <row r="76" spans="1:18">
      <c r="A76" s="3"/>
      <c r="B76" s="3"/>
      <c r="C76" s="3"/>
      <c r="D76" s="3"/>
      <c r="E76" s="3"/>
      <c r="F76" s="3"/>
      <c r="G76" s="3"/>
      <c r="H76" s="3"/>
      <c r="I76" s="4"/>
      <c r="J76" s="4"/>
      <c r="K76" s="4"/>
      <c r="L76" s="4">
        <f>K76*100*I76</f>
        <v>0</v>
      </c>
      <c r="M76" s="4">
        <f>K76*100*J76</f>
        <v>0</v>
      </c>
      <c r="N76" s="4" t="str">
        <f>IF(O76="Win",M76,IF(O76="Loss",-L76,""))</f>
        <v/>
      </c>
      <c r="O76" s="4"/>
      <c r="P76" s="3"/>
      <c r="Q76" s="4">
        <f>IF(SUM(N$2:N76)="",Dashboard!B3,Dashboard!B3+SUM(N$2:N76))</f>
        <v>4972</v>
      </c>
      <c r="R76" s="3"/>
    </row>
    <row r="77" spans="1:18">
      <c r="A77" s="3"/>
      <c r="B77" s="3"/>
      <c r="C77" s="3"/>
      <c r="D77" s="3"/>
      <c r="E77" s="3"/>
      <c r="F77" s="3"/>
      <c r="G77" s="3"/>
      <c r="H77" s="3"/>
      <c r="I77" s="4"/>
      <c r="J77" s="4"/>
      <c r="K77" s="4"/>
      <c r="L77" s="4">
        <f>K77*100*I77</f>
        <v>0</v>
      </c>
      <c r="M77" s="4">
        <f>K77*100*J77</f>
        <v>0</v>
      </c>
      <c r="N77" s="4" t="str">
        <f>IF(O77="Win",M77,IF(O77="Loss",-L77,""))</f>
        <v/>
      </c>
      <c r="O77" s="4"/>
      <c r="P77" s="3"/>
      <c r="Q77" s="4">
        <f>IF(SUM(N$2:N77)="",Dashboard!B3,Dashboard!B3+SUM(N$2:N77))</f>
        <v>4972</v>
      </c>
      <c r="R77" s="3"/>
    </row>
    <row r="78" spans="1:18">
      <c r="A78" s="3"/>
      <c r="B78" s="3"/>
      <c r="C78" s="3"/>
      <c r="D78" s="3"/>
      <c r="E78" s="3"/>
      <c r="F78" s="3"/>
      <c r="G78" s="3"/>
      <c r="H78" s="3"/>
      <c r="I78" s="4"/>
      <c r="J78" s="4"/>
      <c r="K78" s="4"/>
      <c r="L78" s="4">
        <f>K78*100*I78</f>
        <v>0</v>
      </c>
      <c r="M78" s="4">
        <f>K78*100*J78</f>
        <v>0</v>
      </c>
      <c r="N78" s="4" t="str">
        <f>IF(O78="Win",M78,IF(O78="Loss",-L78,""))</f>
        <v/>
      </c>
      <c r="O78" s="4"/>
      <c r="P78" s="3"/>
      <c r="Q78" s="4">
        <f>IF(SUM(N$2:N78)="",Dashboard!B3,Dashboard!B3+SUM(N$2:N78))</f>
        <v>4972</v>
      </c>
      <c r="R78" s="3"/>
    </row>
    <row r="79" spans="1:18">
      <c r="A79" s="3"/>
      <c r="B79" s="3"/>
      <c r="C79" s="3"/>
      <c r="D79" s="3"/>
      <c r="E79" s="3"/>
      <c r="F79" s="3"/>
      <c r="G79" s="3"/>
      <c r="H79" s="3"/>
      <c r="I79" s="4"/>
      <c r="J79" s="4"/>
      <c r="K79" s="4"/>
      <c r="L79" s="4">
        <f>K79*100*I79</f>
        <v>0</v>
      </c>
      <c r="M79" s="4">
        <f>K79*100*J79</f>
        <v>0</v>
      </c>
      <c r="N79" s="4" t="str">
        <f>IF(O79="Win",M79,IF(O79="Loss",-L79,""))</f>
        <v/>
      </c>
      <c r="O79" s="4"/>
      <c r="P79" s="3"/>
      <c r="Q79" s="4">
        <f>IF(SUM(N$2:N79)="",Dashboard!B3,Dashboard!B3+SUM(N$2:N79))</f>
        <v>4972</v>
      </c>
      <c r="R79" s="3"/>
    </row>
    <row r="80" spans="1:18">
      <c r="A80" s="3"/>
      <c r="B80" s="3"/>
      <c r="C80" s="3"/>
      <c r="D80" s="3"/>
      <c r="E80" s="3"/>
      <c r="F80" s="3"/>
      <c r="G80" s="3"/>
      <c r="H80" s="3"/>
      <c r="I80" s="4"/>
      <c r="J80" s="4"/>
      <c r="K80" s="4"/>
      <c r="L80" s="4">
        <f>K80*100*I80</f>
        <v>0</v>
      </c>
      <c r="M80" s="4">
        <f>K80*100*J80</f>
        <v>0</v>
      </c>
      <c r="N80" s="4" t="str">
        <f>IF(O80="Win",M80,IF(O80="Loss",-L80,""))</f>
        <v/>
      </c>
      <c r="O80" s="4"/>
      <c r="P80" s="3"/>
      <c r="Q80" s="4">
        <f>IF(SUM(N$2:N80)="",Dashboard!B3,Dashboard!B3+SUM(N$2:N80))</f>
        <v>4972</v>
      </c>
      <c r="R80" s="3"/>
    </row>
    <row r="81" spans="1:18">
      <c r="A81" s="3"/>
      <c r="B81" s="3"/>
      <c r="C81" s="3"/>
      <c r="D81" s="3"/>
      <c r="E81" s="3"/>
      <c r="F81" s="3"/>
      <c r="G81" s="3"/>
      <c r="H81" s="3"/>
      <c r="I81" s="4"/>
      <c r="J81" s="4"/>
      <c r="K81" s="4"/>
      <c r="L81" s="4">
        <f>K81*100*I81</f>
        <v>0</v>
      </c>
      <c r="M81" s="4">
        <f>K81*100*J81</f>
        <v>0</v>
      </c>
      <c r="N81" s="4" t="str">
        <f>IF(O81="Win",M81,IF(O81="Loss",-L81,""))</f>
        <v/>
      </c>
      <c r="O81" s="4"/>
      <c r="P81" s="3"/>
      <c r="Q81" s="4">
        <f>IF(SUM(N$2:N81)="",Dashboard!B3,Dashboard!B3+SUM(N$2:N81))</f>
        <v>4972</v>
      </c>
      <c r="R81" s="3"/>
    </row>
    <row r="82" spans="1:18">
      <c r="A82" s="3"/>
      <c r="B82" s="3"/>
      <c r="C82" s="3"/>
      <c r="D82" s="3"/>
      <c r="E82" s="3"/>
      <c r="F82" s="3"/>
      <c r="G82" s="3"/>
      <c r="H82" s="3"/>
      <c r="I82" s="4"/>
      <c r="J82" s="4"/>
      <c r="K82" s="4"/>
      <c r="L82" s="4">
        <f>K82*100*I82</f>
        <v>0</v>
      </c>
      <c r="M82" s="4">
        <f>K82*100*J82</f>
        <v>0</v>
      </c>
      <c r="N82" s="4" t="str">
        <f>IF(O82="Win",M82,IF(O82="Loss",-L82,""))</f>
        <v/>
      </c>
      <c r="O82" s="4"/>
      <c r="P82" s="3"/>
      <c r="Q82" s="4">
        <f>IF(SUM(N$2:N82)="",Dashboard!B3,Dashboard!B3+SUM(N$2:N82))</f>
        <v>4972</v>
      </c>
      <c r="R82" s="3"/>
    </row>
    <row r="83" spans="1:18">
      <c r="A83" s="3"/>
      <c r="B83" s="3"/>
      <c r="C83" s="3"/>
      <c r="D83" s="3"/>
      <c r="E83" s="3"/>
      <c r="F83" s="3"/>
      <c r="G83" s="3"/>
      <c r="H83" s="3"/>
      <c r="I83" s="4"/>
      <c r="J83" s="4"/>
      <c r="K83" s="4"/>
      <c r="L83" s="4">
        <f>K83*100*I83</f>
        <v>0</v>
      </c>
      <c r="M83" s="4">
        <f>K83*100*J83</f>
        <v>0</v>
      </c>
      <c r="N83" s="4" t="str">
        <f>IF(O83="Win",M83,IF(O83="Loss",-L83,""))</f>
        <v/>
      </c>
      <c r="O83" s="4"/>
      <c r="P83" s="3"/>
      <c r="Q83" s="4">
        <f>IF(SUM(N$2:N83)="",Dashboard!B3,Dashboard!B3+SUM(N$2:N83))</f>
        <v>4972</v>
      </c>
      <c r="R83" s="3"/>
    </row>
    <row r="84" spans="1:18">
      <c r="A84" s="3"/>
      <c r="B84" s="3"/>
      <c r="C84" s="3"/>
      <c r="D84" s="3"/>
      <c r="E84" s="3"/>
      <c r="F84" s="3"/>
      <c r="G84" s="3"/>
      <c r="H84" s="3"/>
      <c r="I84" s="4"/>
      <c r="J84" s="4"/>
      <c r="K84" s="4"/>
      <c r="L84" s="4">
        <f>K84*100*I84</f>
        <v>0</v>
      </c>
      <c r="M84" s="4">
        <f>K84*100*J84</f>
        <v>0</v>
      </c>
      <c r="N84" s="4" t="str">
        <f>IF(O84="Win",M84,IF(O84="Loss",-L84,""))</f>
        <v/>
      </c>
      <c r="O84" s="4"/>
      <c r="P84" s="3"/>
      <c r="Q84" s="4">
        <f>IF(SUM(N$2:N84)="",Dashboard!B3,Dashboard!B3+SUM(N$2:N84))</f>
        <v>4972</v>
      </c>
      <c r="R84" s="3"/>
    </row>
    <row r="85" spans="1:18">
      <c r="A85" s="3"/>
      <c r="B85" s="3"/>
      <c r="C85" s="3"/>
      <c r="D85" s="3"/>
      <c r="E85" s="3"/>
      <c r="F85" s="3"/>
      <c r="G85" s="3"/>
      <c r="H85" s="3"/>
      <c r="I85" s="4"/>
      <c r="J85" s="4"/>
      <c r="K85" s="4"/>
      <c r="L85" s="4">
        <f>K85*100*I85</f>
        <v>0</v>
      </c>
      <c r="M85" s="4">
        <f>K85*100*J85</f>
        <v>0</v>
      </c>
      <c r="N85" s="4" t="str">
        <f>IF(O85="Win",M85,IF(O85="Loss",-L85,""))</f>
        <v/>
      </c>
      <c r="O85" s="4"/>
      <c r="P85" s="3"/>
      <c r="Q85" s="4">
        <f>IF(SUM(N$2:N85)="",Dashboard!B3,Dashboard!B3+SUM(N$2:N85))</f>
        <v>4972</v>
      </c>
      <c r="R85" s="3"/>
    </row>
    <row r="86" spans="1:18">
      <c r="A86" s="3"/>
      <c r="B86" s="3"/>
      <c r="C86" s="3"/>
      <c r="D86" s="3"/>
      <c r="E86" s="3"/>
      <c r="F86" s="3"/>
      <c r="G86" s="3"/>
      <c r="H86" s="3"/>
      <c r="I86" s="4"/>
      <c r="J86" s="4"/>
      <c r="K86" s="4"/>
      <c r="L86" s="4">
        <f>K86*100*I86</f>
        <v>0</v>
      </c>
      <c r="M86" s="4">
        <f>K86*100*J86</f>
        <v>0</v>
      </c>
      <c r="N86" s="4" t="str">
        <f>IF(O86="Win",M86,IF(O86="Loss",-L86,""))</f>
        <v/>
      </c>
      <c r="O86" s="4"/>
      <c r="P86" s="3"/>
      <c r="Q86" s="4">
        <f>IF(SUM(N$2:N86)="",Dashboard!B3,Dashboard!B3+SUM(N$2:N86))</f>
        <v>4972</v>
      </c>
      <c r="R86" s="3"/>
    </row>
    <row r="87" spans="1:18">
      <c r="A87" s="3"/>
      <c r="B87" s="3"/>
      <c r="C87" s="3"/>
      <c r="D87" s="3"/>
      <c r="E87" s="3"/>
      <c r="F87" s="3"/>
      <c r="G87" s="3"/>
      <c r="H87" s="3"/>
      <c r="I87" s="4"/>
      <c r="J87" s="4"/>
      <c r="K87" s="4"/>
      <c r="L87" s="4">
        <f>K87*100*I87</f>
        <v>0</v>
      </c>
      <c r="M87" s="4">
        <f>K87*100*J87</f>
        <v>0</v>
      </c>
      <c r="N87" s="4" t="str">
        <f>IF(O87="Win",M87,IF(O87="Loss",-L87,""))</f>
        <v/>
      </c>
      <c r="O87" s="4"/>
      <c r="P87" s="3"/>
      <c r="Q87" s="4">
        <f>IF(SUM(N$2:N87)="",Dashboard!B3,Dashboard!B3+SUM(N$2:N87))</f>
        <v>4972</v>
      </c>
      <c r="R87" s="3"/>
    </row>
    <row r="88" spans="1:18">
      <c r="A88" s="3"/>
      <c r="B88" s="3"/>
      <c r="C88" s="3"/>
      <c r="D88" s="3"/>
      <c r="E88" s="3"/>
      <c r="F88" s="3"/>
      <c r="G88" s="3"/>
      <c r="H88" s="3"/>
      <c r="I88" s="4"/>
      <c r="J88" s="4"/>
      <c r="K88" s="4"/>
      <c r="L88" s="4">
        <f>K88*100*I88</f>
        <v>0</v>
      </c>
      <c r="M88" s="4">
        <f>K88*100*J88</f>
        <v>0</v>
      </c>
      <c r="N88" s="4" t="str">
        <f>IF(O88="Win",M88,IF(O88="Loss",-L88,""))</f>
        <v/>
      </c>
      <c r="O88" s="4"/>
      <c r="P88" s="3"/>
      <c r="Q88" s="4">
        <f>IF(SUM(N$2:N88)="",Dashboard!B3,Dashboard!B3+SUM(N$2:N88))</f>
        <v>4972</v>
      </c>
      <c r="R88" s="3"/>
    </row>
    <row r="89" spans="1:18">
      <c r="A89" s="3"/>
      <c r="B89" s="3"/>
      <c r="C89" s="3"/>
      <c r="D89" s="3"/>
      <c r="E89" s="3"/>
      <c r="F89" s="3"/>
      <c r="G89" s="3"/>
      <c r="H89" s="3"/>
      <c r="I89" s="4"/>
      <c r="J89" s="4"/>
      <c r="K89" s="4"/>
      <c r="L89" s="4">
        <f>K89*100*I89</f>
        <v>0</v>
      </c>
      <c r="M89" s="4">
        <f>K89*100*J89</f>
        <v>0</v>
      </c>
      <c r="N89" s="4" t="str">
        <f>IF(O89="Win",M89,IF(O89="Loss",-L89,""))</f>
        <v/>
      </c>
      <c r="O89" s="4"/>
      <c r="P89" s="3"/>
      <c r="Q89" s="4">
        <f>IF(SUM(N$2:N89)="",Dashboard!B3,Dashboard!B3+SUM(N$2:N89))</f>
        <v>4972</v>
      </c>
      <c r="R89" s="3"/>
    </row>
    <row r="90" spans="1:18">
      <c r="A90" s="3"/>
      <c r="B90" s="3"/>
      <c r="C90" s="3"/>
      <c r="D90" s="3"/>
      <c r="E90" s="3"/>
      <c r="F90" s="3"/>
      <c r="G90" s="3"/>
      <c r="H90" s="3"/>
      <c r="I90" s="4"/>
      <c r="J90" s="4"/>
      <c r="K90" s="4"/>
      <c r="L90" s="4">
        <f>K90*100*I90</f>
        <v>0</v>
      </c>
      <c r="M90" s="4">
        <f>K90*100*J90</f>
        <v>0</v>
      </c>
      <c r="N90" s="4" t="str">
        <f>IF(O90="Win",M90,IF(O90="Loss",-L90,""))</f>
        <v/>
      </c>
      <c r="O90" s="4"/>
      <c r="P90" s="3"/>
      <c r="Q90" s="4">
        <f>IF(SUM(N$2:N90)="",Dashboard!B3,Dashboard!B3+SUM(N$2:N90))</f>
        <v>4972</v>
      </c>
      <c r="R90" s="3"/>
    </row>
    <row r="91" spans="1:18">
      <c r="A91" s="3"/>
      <c r="B91" s="3"/>
      <c r="C91" s="3"/>
      <c r="D91" s="3"/>
      <c r="E91" s="3"/>
      <c r="F91" s="3"/>
      <c r="G91" s="3"/>
      <c r="H91" s="3"/>
      <c r="I91" s="4"/>
      <c r="J91" s="4"/>
      <c r="K91" s="4"/>
      <c r="L91" s="4">
        <f>K91*100*I91</f>
        <v>0</v>
      </c>
      <c r="M91" s="4">
        <f>K91*100*J91</f>
        <v>0</v>
      </c>
      <c r="N91" s="4" t="str">
        <f>IF(O91="Win",M91,IF(O91="Loss",-L91,""))</f>
        <v/>
      </c>
      <c r="O91" s="4"/>
      <c r="P91" s="3"/>
      <c r="Q91" s="4">
        <f>IF(SUM(N$2:N91)="",Dashboard!B3,Dashboard!B3+SUM(N$2:N91))</f>
        <v>4972</v>
      </c>
      <c r="R91" s="3"/>
    </row>
    <row r="92" spans="1:18">
      <c r="A92" s="3"/>
      <c r="B92" s="3"/>
      <c r="C92" s="3"/>
      <c r="D92" s="3"/>
      <c r="E92" s="3"/>
      <c r="F92" s="3"/>
      <c r="G92" s="3"/>
      <c r="H92" s="3"/>
      <c r="I92" s="4"/>
      <c r="J92" s="4"/>
      <c r="K92" s="4"/>
      <c r="L92" s="4">
        <f>K92*100*I92</f>
        <v>0</v>
      </c>
      <c r="M92" s="4">
        <f>K92*100*J92</f>
        <v>0</v>
      </c>
      <c r="N92" s="4" t="str">
        <f>IF(O92="Win",M92,IF(O92="Loss",-L92,""))</f>
        <v/>
      </c>
      <c r="O92" s="4"/>
      <c r="P92" s="3"/>
      <c r="Q92" s="4">
        <f>IF(SUM(N$2:N92)="",Dashboard!B3,Dashboard!B3+SUM(N$2:N92))</f>
        <v>4972</v>
      </c>
      <c r="R92" s="3"/>
    </row>
    <row r="93" spans="1:18">
      <c r="A93" s="3"/>
      <c r="B93" s="3"/>
      <c r="C93" s="3"/>
      <c r="D93" s="3"/>
      <c r="E93" s="3"/>
      <c r="F93" s="3"/>
      <c r="G93" s="3"/>
      <c r="H93" s="3"/>
      <c r="I93" s="4"/>
      <c r="J93" s="4"/>
      <c r="K93" s="4"/>
      <c r="L93" s="4">
        <f>K93*100*I93</f>
        <v>0</v>
      </c>
      <c r="M93" s="4">
        <f>K93*100*J93</f>
        <v>0</v>
      </c>
      <c r="N93" s="4" t="str">
        <f>IF(O93="Win",M93,IF(O93="Loss",-L93,""))</f>
        <v/>
      </c>
      <c r="O93" s="4"/>
      <c r="P93" s="3"/>
      <c r="Q93" s="4">
        <f>IF(SUM(N$2:N93)="",Dashboard!B3,Dashboard!B3+SUM(N$2:N93))</f>
        <v>4972</v>
      </c>
      <c r="R93" s="3"/>
    </row>
    <row r="94" spans="1:18">
      <c r="A94" s="3"/>
      <c r="B94" s="3"/>
      <c r="C94" s="3"/>
      <c r="D94" s="3"/>
      <c r="E94" s="3"/>
      <c r="F94" s="3"/>
      <c r="G94" s="3"/>
      <c r="H94" s="3"/>
      <c r="I94" s="4"/>
      <c r="J94" s="4"/>
      <c r="K94" s="4"/>
      <c r="L94" s="4">
        <f>K94*100*I94</f>
        <v>0</v>
      </c>
      <c r="M94" s="4">
        <f>K94*100*J94</f>
        <v>0</v>
      </c>
      <c r="N94" s="4" t="str">
        <f>IF(O94="Win",M94,IF(O94="Loss",-L94,""))</f>
        <v/>
      </c>
      <c r="O94" s="4"/>
      <c r="P94" s="3"/>
      <c r="Q94" s="4">
        <f>IF(SUM(N$2:N94)="",Dashboard!B3,Dashboard!B3+SUM(N$2:N94))</f>
        <v>4972</v>
      </c>
      <c r="R94" s="3"/>
    </row>
    <row r="95" spans="1:18">
      <c r="A95" s="3"/>
      <c r="B95" s="3"/>
      <c r="C95" s="3"/>
      <c r="D95" s="3"/>
      <c r="E95" s="3"/>
      <c r="F95" s="3"/>
      <c r="G95" s="3"/>
      <c r="H95" s="3"/>
      <c r="I95" s="4"/>
      <c r="J95" s="4"/>
      <c r="K95" s="4"/>
      <c r="L95" s="4">
        <f>K95*100*I95</f>
        <v>0</v>
      </c>
      <c r="M95" s="4">
        <f>K95*100*J95</f>
        <v>0</v>
      </c>
      <c r="N95" s="4" t="str">
        <f>IF(O95="Win",M95,IF(O95="Loss",-L95,""))</f>
        <v/>
      </c>
      <c r="O95" s="4"/>
      <c r="P95" s="3"/>
      <c r="Q95" s="4">
        <f>IF(SUM(N$2:N95)="",Dashboard!B3,Dashboard!B3+SUM(N$2:N95))</f>
        <v>4972</v>
      </c>
      <c r="R95" s="3"/>
    </row>
    <row r="96" spans="1:18">
      <c r="A96" s="3"/>
      <c r="B96" s="3"/>
      <c r="C96" s="3"/>
      <c r="D96" s="3"/>
      <c r="E96" s="3"/>
      <c r="F96" s="3"/>
      <c r="G96" s="3"/>
      <c r="H96" s="3"/>
      <c r="I96" s="4"/>
      <c r="J96" s="4"/>
      <c r="K96" s="4"/>
      <c r="L96" s="4">
        <f>K96*100*I96</f>
        <v>0</v>
      </c>
      <c r="M96" s="4">
        <f>K96*100*J96</f>
        <v>0</v>
      </c>
      <c r="N96" s="4" t="str">
        <f>IF(O96="Win",M96,IF(O96="Loss",-L96,""))</f>
        <v/>
      </c>
      <c r="O96" s="4"/>
      <c r="P96" s="3"/>
      <c r="Q96" s="4">
        <f>IF(SUM(N$2:N96)="",Dashboard!B3,Dashboard!B3+SUM(N$2:N96))</f>
        <v>4972</v>
      </c>
      <c r="R96" s="3"/>
    </row>
    <row r="97" spans="1:18">
      <c r="A97" s="3"/>
      <c r="B97" s="3"/>
      <c r="C97" s="3"/>
      <c r="D97" s="3"/>
      <c r="E97" s="3"/>
      <c r="F97" s="3"/>
      <c r="G97" s="3"/>
      <c r="H97" s="3"/>
      <c r="I97" s="4"/>
      <c r="J97" s="4"/>
      <c r="K97" s="4"/>
      <c r="L97" s="4">
        <f>K97*100*I97</f>
        <v>0</v>
      </c>
      <c r="M97" s="4">
        <f>K97*100*J97</f>
        <v>0</v>
      </c>
      <c r="N97" s="4" t="str">
        <f>IF(O97="Win",M97,IF(O97="Loss",-L97,""))</f>
        <v/>
      </c>
      <c r="O97" s="4"/>
      <c r="P97" s="3"/>
      <c r="Q97" s="4">
        <f>IF(SUM(N$2:N97)="",Dashboard!B3,Dashboard!B3+SUM(N$2:N97))</f>
        <v>4972</v>
      </c>
      <c r="R97" s="3"/>
    </row>
    <row r="98" spans="1:18">
      <c r="A98" s="3"/>
      <c r="B98" s="3"/>
      <c r="C98" s="3"/>
      <c r="D98" s="3"/>
      <c r="E98" s="3"/>
      <c r="F98" s="3"/>
      <c r="G98" s="3"/>
      <c r="H98" s="3"/>
      <c r="I98" s="4"/>
      <c r="J98" s="4"/>
      <c r="K98" s="4"/>
      <c r="L98" s="4">
        <f>K98*100*I98</f>
        <v>0</v>
      </c>
      <c r="M98" s="4">
        <f>K98*100*J98</f>
        <v>0</v>
      </c>
      <c r="N98" s="4" t="str">
        <f>IF(O98="Win",M98,IF(O98="Loss",-L98,""))</f>
        <v/>
      </c>
      <c r="O98" s="4"/>
      <c r="P98" s="3"/>
      <c r="Q98" s="4">
        <f>IF(SUM(N$2:N98)="",Dashboard!B3,Dashboard!B3+SUM(N$2:N98))</f>
        <v>4972</v>
      </c>
      <c r="R98" s="3"/>
    </row>
    <row r="99" spans="1:18">
      <c r="A99" s="3"/>
      <c r="B99" s="3"/>
      <c r="C99" s="3"/>
      <c r="D99" s="3"/>
      <c r="E99" s="3"/>
      <c r="F99" s="3"/>
      <c r="G99" s="3"/>
      <c r="H99" s="3"/>
      <c r="I99" s="4"/>
      <c r="J99" s="4"/>
      <c r="K99" s="4"/>
      <c r="L99" s="4">
        <f>K99*100*I99</f>
        <v>0</v>
      </c>
      <c r="M99" s="4">
        <f>K99*100*J99</f>
        <v>0</v>
      </c>
      <c r="N99" s="4" t="str">
        <f>IF(O99="Win",M99,IF(O99="Loss",-L99,""))</f>
        <v/>
      </c>
      <c r="O99" s="4"/>
      <c r="P99" s="3"/>
      <c r="Q99" s="4">
        <f>IF(SUM(N$2:N99)="",Dashboard!B3,Dashboard!B3+SUM(N$2:N99))</f>
        <v>4972</v>
      </c>
      <c r="R99" s="3"/>
    </row>
    <row r="100" spans="1:18">
      <c r="A100" s="3"/>
      <c r="B100" s="3"/>
      <c r="C100" s="3"/>
      <c r="D100" s="3"/>
      <c r="E100" s="3"/>
      <c r="F100" s="3"/>
      <c r="G100" s="3"/>
      <c r="H100" s="3"/>
      <c r="I100" s="4"/>
      <c r="J100" s="4"/>
      <c r="K100" s="4"/>
      <c r="L100" s="4">
        <f>K100*100*I100</f>
        <v>0</v>
      </c>
      <c r="M100" s="4">
        <f>K100*100*J100</f>
        <v>0</v>
      </c>
      <c r="N100" s="4" t="str">
        <f>IF(O100="Win",M100,IF(O100="Loss",-L100,""))</f>
        <v/>
      </c>
      <c r="O100" s="4"/>
      <c r="P100" s="3"/>
      <c r="Q100" s="4">
        <f>IF(SUM(N$2:N100)="",Dashboard!B3,Dashboard!B3+SUM(N$2:N100))</f>
        <v>4972</v>
      </c>
      <c r="R100" s="3"/>
    </row>
    <row r="101" spans="1:18">
      <c r="A101" s="3"/>
      <c r="B101" s="3"/>
      <c r="C101" s="3"/>
      <c r="D101" s="3"/>
      <c r="E101" s="3"/>
      <c r="F101" s="3"/>
      <c r="G101" s="3"/>
      <c r="H101" s="3"/>
      <c r="I101" s="4"/>
      <c r="J101" s="4"/>
      <c r="K101" s="4"/>
      <c r="L101" s="4">
        <f>K101*100*I101</f>
        <v>0</v>
      </c>
      <c r="M101" s="4">
        <f>K101*100*J101</f>
        <v>0</v>
      </c>
      <c r="N101" s="4" t="str">
        <f>IF(O101="Win",M101,IF(O101="Loss",-L101,""))</f>
        <v/>
      </c>
      <c r="O101" s="4"/>
      <c r="P101" s="3"/>
      <c r="Q101" s="4">
        <f>IF(SUM(N$2:N101)="",Dashboard!B3,Dashboard!B3+SUM(N$2:N101))</f>
        <v>4972</v>
      </c>
      <c r="R101" s="3"/>
    </row>
    <row r="102" spans="1:18">
      <c r="A102" s="3"/>
      <c r="B102" s="3"/>
      <c r="C102" s="3"/>
      <c r="D102" s="3"/>
      <c r="E102" s="3"/>
      <c r="F102" s="3"/>
      <c r="G102" s="3"/>
      <c r="H102" s="3"/>
      <c r="I102" s="4"/>
      <c r="J102" s="4"/>
      <c r="K102" s="4"/>
      <c r="L102" s="4">
        <f>K102*100*I102</f>
        <v>0</v>
      </c>
      <c r="M102" s="4">
        <f>K102*100*J102</f>
        <v>0</v>
      </c>
      <c r="N102" s="4" t="str">
        <f>IF(O102="Win",M102,IF(O102="Loss",-L102,""))</f>
        <v/>
      </c>
      <c r="O102" s="4"/>
      <c r="P102" s="3"/>
      <c r="Q102" s="4">
        <f>IF(SUM(N$2:N102)="",Dashboard!B3,Dashboard!B3+SUM(N$2:N102))</f>
        <v>4972</v>
      </c>
      <c r="R102" s="3"/>
    </row>
    <row r="103" spans="1:18">
      <c r="A103" s="3"/>
      <c r="B103" s="3"/>
      <c r="C103" s="3"/>
      <c r="D103" s="3"/>
      <c r="E103" s="3"/>
      <c r="F103" s="3"/>
      <c r="G103" s="3"/>
      <c r="H103" s="3"/>
      <c r="I103" s="4"/>
      <c r="J103" s="4"/>
      <c r="K103" s="4"/>
      <c r="L103" s="4">
        <f>K103*100*I103</f>
        <v>0</v>
      </c>
      <c r="M103" s="4">
        <f>K103*100*J103</f>
        <v>0</v>
      </c>
      <c r="N103" s="4" t="str">
        <f>IF(O103="Win",M103,IF(O103="Loss",-L103,""))</f>
        <v/>
      </c>
      <c r="O103" s="4"/>
      <c r="P103" s="3"/>
      <c r="Q103" s="4">
        <f>IF(SUM(N$2:N103)="",Dashboard!B3,Dashboard!B3+SUM(N$2:N103))</f>
        <v>4972</v>
      </c>
      <c r="R103" s="3"/>
    </row>
    <row r="104" spans="1:18">
      <c r="A104" s="3"/>
      <c r="B104" s="3"/>
      <c r="C104" s="3"/>
      <c r="D104" s="3"/>
      <c r="E104" s="3"/>
      <c r="F104" s="3"/>
      <c r="G104" s="3"/>
      <c r="H104" s="3"/>
      <c r="I104" s="4"/>
      <c r="J104" s="4"/>
      <c r="K104" s="4"/>
      <c r="L104" s="4">
        <f>K104*100*I104</f>
        <v>0</v>
      </c>
      <c r="M104" s="4">
        <f>K104*100*J104</f>
        <v>0</v>
      </c>
      <c r="N104" s="4" t="str">
        <f>IF(O104="Win",M104,IF(O104="Loss",-L104,""))</f>
        <v/>
      </c>
      <c r="O104" s="4"/>
      <c r="P104" s="3"/>
      <c r="Q104" s="4">
        <f>IF(SUM(N$2:N104)="",Dashboard!B3,Dashboard!B3+SUM(N$2:N104))</f>
        <v>4972</v>
      </c>
      <c r="R104" s="3"/>
    </row>
    <row r="105" spans="1:18">
      <c r="A105" s="3"/>
      <c r="B105" s="3"/>
      <c r="C105" s="3"/>
      <c r="D105" s="3"/>
      <c r="E105" s="3"/>
      <c r="F105" s="3"/>
      <c r="G105" s="3"/>
      <c r="H105" s="3"/>
      <c r="I105" s="4"/>
      <c r="J105" s="4"/>
      <c r="K105" s="4"/>
      <c r="L105" s="4">
        <f>K105*100*I105</f>
        <v>0</v>
      </c>
      <c r="M105" s="4">
        <f>K105*100*J105</f>
        <v>0</v>
      </c>
      <c r="N105" s="4" t="str">
        <f>IF(O105="Win",M105,IF(O105="Loss",-L105,""))</f>
        <v/>
      </c>
      <c r="O105" s="4"/>
      <c r="P105" s="3"/>
      <c r="Q105" s="4">
        <f>IF(SUM(N$2:N105)="",Dashboard!B3,Dashboard!B3+SUM(N$2:N105))</f>
        <v>4972</v>
      </c>
      <c r="R105" s="3"/>
    </row>
    <row r="106" spans="1:18">
      <c r="A106" s="3"/>
      <c r="B106" s="3"/>
      <c r="C106" s="3"/>
      <c r="D106" s="3"/>
      <c r="E106" s="3"/>
      <c r="F106" s="3"/>
      <c r="G106" s="3"/>
      <c r="H106" s="3"/>
      <c r="I106" s="4"/>
      <c r="J106" s="4"/>
      <c r="K106" s="4"/>
      <c r="L106" s="4">
        <f>K106*100*I106</f>
        <v>0</v>
      </c>
      <c r="M106" s="4">
        <f>K106*100*J106</f>
        <v>0</v>
      </c>
      <c r="N106" s="4" t="str">
        <f>IF(O106="Win",M106,IF(O106="Loss",-L106,""))</f>
        <v/>
      </c>
      <c r="O106" s="4"/>
      <c r="P106" s="3"/>
      <c r="Q106" s="4">
        <f>IF(SUM(N$2:N106)="",Dashboard!B3,Dashboard!B3+SUM(N$2:N106))</f>
        <v>4972</v>
      </c>
      <c r="R106" s="3"/>
    </row>
    <row r="107" spans="1:18">
      <c r="A107" s="3"/>
      <c r="B107" s="3"/>
      <c r="C107" s="3"/>
      <c r="D107" s="3"/>
      <c r="E107" s="3"/>
      <c r="F107" s="3"/>
      <c r="G107" s="3"/>
      <c r="H107" s="3"/>
      <c r="I107" s="4"/>
      <c r="J107" s="4"/>
      <c r="K107" s="4"/>
      <c r="L107" s="4">
        <f>K107*100*I107</f>
        <v>0</v>
      </c>
      <c r="M107" s="4">
        <f>K107*100*J107</f>
        <v>0</v>
      </c>
      <c r="N107" s="4" t="str">
        <f>IF(O107="Win",M107,IF(O107="Loss",-L107,""))</f>
        <v/>
      </c>
      <c r="O107" s="4"/>
      <c r="P107" s="3"/>
      <c r="Q107" s="4">
        <f>IF(SUM(N$2:N107)="",Dashboard!B3,Dashboard!B3+SUM(N$2:N107))</f>
        <v>4972</v>
      </c>
      <c r="R107" s="3"/>
    </row>
    <row r="108" spans="1:18">
      <c r="A108" s="3"/>
      <c r="B108" s="3"/>
      <c r="C108" s="3"/>
      <c r="D108" s="3"/>
      <c r="E108" s="3"/>
      <c r="F108" s="3"/>
      <c r="G108" s="3"/>
      <c r="H108" s="3"/>
      <c r="I108" s="4"/>
      <c r="J108" s="4"/>
      <c r="K108" s="4"/>
      <c r="L108" s="4">
        <f>K108*100*I108</f>
        <v>0</v>
      </c>
      <c r="M108" s="4">
        <f>K108*100*J108</f>
        <v>0</v>
      </c>
      <c r="N108" s="4" t="str">
        <f>IF(O108="Win",M108,IF(O108="Loss",-L108,""))</f>
        <v/>
      </c>
      <c r="O108" s="4"/>
      <c r="P108" s="3"/>
      <c r="Q108" s="4">
        <f>IF(SUM(N$2:N108)="",Dashboard!B3,Dashboard!B3+SUM(N$2:N108))</f>
        <v>4972</v>
      </c>
      <c r="R108" s="3"/>
    </row>
    <row r="109" spans="1:18">
      <c r="A109" s="3"/>
      <c r="B109" s="3"/>
      <c r="C109" s="3"/>
      <c r="D109" s="3"/>
      <c r="E109" s="3"/>
      <c r="F109" s="3"/>
      <c r="G109" s="3"/>
      <c r="H109" s="3"/>
      <c r="I109" s="4"/>
      <c r="J109" s="4"/>
      <c r="K109" s="4"/>
      <c r="L109" s="4">
        <f>K109*100*I109</f>
        <v>0</v>
      </c>
      <c r="M109" s="4">
        <f>K109*100*J109</f>
        <v>0</v>
      </c>
      <c r="N109" s="4" t="str">
        <f>IF(O109="Win",M109,IF(O109="Loss",-L109,""))</f>
        <v/>
      </c>
      <c r="O109" s="4"/>
      <c r="P109" s="3"/>
      <c r="Q109" s="4">
        <f>IF(SUM(N$2:N109)="",Dashboard!B3,Dashboard!B3+SUM(N$2:N109))</f>
        <v>4972</v>
      </c>
      <c r="R109" s="3"/>
    </row>
    <row r="110" spans="1:18">
      <c r="A110" s="3"/>
      <c r="B110" s="3"/>
      <c r="C110" s="3"/>
      <c r="D110" s="3"/>
      <c r="E110" s="3"/>
      <c r="F110" s="3"/>
      <c r="G110" s="3"/>
      <c r="H110" s="3"/>
      <c r="I110" s="4"/>
      <c r="J110" s="4"/>
      <c r="K110" s="4"/>
      <c r="L110" s="4">
        <f>K110*100*I110</f>
        <v>0</v>
      </c>
      <c r="M110" s="4">
        <f>K110*100*J110</f>
        <v>0</v>
      </c>
      <c r="N110" s="4" t="str">
        <f>IF(O110="Win",M110,IF(O110="Loss",-L110,""))</f>
        <v/>
      </c>
      <c r="O110" s="4"/>
      <c r="P110" s="3"/>
      <c r="Q110" s="4">
        <f>IF(SUM(N$2:N110)="",Dashboard!B3,Dashboard!B3+SUM(N$2:N110))</f>
        <v>4972</v>
      </c>
      <c r="R110" s="3"/>
    </row>
    <row r="111" spans="1:18">
      <c r="A111" s="3"/>
      <c r="B111" s="3"/>
      <c r="C111" s="3"/>
      <c r="D111" s="3"/>
      <c r="E111" s="3"/>
      <c r="F111" s="3"/>
      <c r="G111" s="3"/>
      <c r="H111" s="3"/>
      <c r="I111" s="4"/>
      <c r="J111" s="4"/>
      <c r="K111" s="4"/>
      <c r="L111" s="4">
        <f>K111*100*I111</f>
        <v>0</v>
      </c>
      <c r="M111" s="4">
        <f>K111*100*J111</f>
        <v>0</v>
      </c>
      <c r="N111" s="4" t="str">
        <f>IF(O111="Win",M111,IF(O111="Loss",-L111,""))</f>
        <v/>
      </c>
      <c r="O111" s="4"/>
      <c r="P111" s="3"/>
      <c r="Q111" s="4">
        <f>IF(SUM(N$2:N111)="",Dashboard!B3,Dashboard!B3+SUM(N$2:N111))</f>
        <v>4972</v>
      </c>
      <c r="R111" s="3"/>
    </row>
    <row r="112" spans="1:18">
      <c r="A112" s="3"/>
      <c r="B112" s="3"/>
      <c r="C112" s="3"/>
      <c r="D112" s="3"/>
      <c r="E112" s="3"/>
      <c r="F112" s="3"/>
      <c r="G112" s="3"/>
      <c r="H112" s="3"/>
      <c r="I112" s="4"/>
      <c r="J112" s="4"/>
      <c r="K112" s="4"/>
      <c r="L112" s="4">
        <f>K112*100*I112</f>
        <v>0</v>
      </c>
      <c r="M112" s="4">
        <f>K112*100*J112</f>
        <v>0</v>
      </c>
      <c r="N112" s="4" t="str">
        <f>IF(O112="Win",M112,IF(O112="Loss",-L112,""))</f>
        <v/>
      </c>
      <c r="O112" s="4"/>
      <c r="P112" s="3"/>
      <c r="Q112" s="4">
        <f>IF(SUM(N$2:N112)="",Dashboard!B3,Dashboard!B3+SUM(N$2:N112))</f>
        <v>4972</v>
      </c>
      <c r="R112" s="3"/>
    </row>
    <row r="113" spans="1:18">
      <c r="A113" s="3"/>
      <c r="B113" s="3"/>
      <c r="C113" s="3"/>
      <c r="D113" s="3"/>
      <c r="E113" s="3"/>
      <c r="F113" s="3"/>
      <c r="G113" s="3"/>
      <c r="H113" s="3"/>
      <c r="I113" s="4"/>
      <c r="J113" s="4"/>
      <c r="K113" s="4"/>
      <c r="L113" s="4">
        <f>K113*100*I113</f>
        <v>0</v>
      </c>
      <c r="M113" s="4">
        <f>K113*100*J113</f>
        <v>0</v>
      </c>
      <c r="N113" s="4" t="str">
        <f>IF(O113="Win",M113,IF(O113="Loss",-L113,""))</f>
        <v/>
      </c>
      <c r="O113" s="4"/>
      <c r="P113" s="3"/>
      <c r="Q113" s="4">
        <f>IF(SUM(N$2:N113)="",Dashboard!B3,Dashboard!B3+SUM(N$2:N113))</f>
        <v>4972</v>
      </c>
      <c r="R113" s="3"/>
    </row>
    <row r="114" spans="1:18">
      <c r="A114" s="3"/>
      <c r="B114" s="3"/>
      <c r="C114" s="3"/>
      <c r="D114" s="3"/>
      <c r="E114" s="3"/>
      <c r="F114" s="3"/>
      <c r="G114" s="3"/>
      <c r="H114" s="3"/>
      <c r="I114" s="4"/>
      <c r="J114" s="4"/>
      <c r="K114" s="4"/>
      <c r="L114" s="4">
        <f>K114*100*I114</f>
        <v>0</v>
      </c>
      <c r="M114" s="4">
        <f>K114*100*J114</f>
        <v>0</v>
      </c>
      <c r="N114" s="4" t="str">
        <f>IF(O114="Win",M114,IF(O114="Loss",-L114,""))</f>
        <v/>
      </c>
      <c r="O114" s="4"/>
      <c r="P114" s="3"/>
      <c r="Q114" s="4">
        <f>IF(SUM(N$2:N114)="",Dashboard!B3,Dashboard!B3+SUM(N$2:N114))</f>
        <v>4972</v>
      </c>
      <c r="R114" s="3"/>
    </row>
    <row r="115" spans="1:18">
      <c r="A115" s="3"/>
      <c r="B115" s="3"/>
      <c r="C115" s="3"/>
      <c r="D115" s="3"/>
      <c r="E115" s="3"/>
      <c r="F115" s="3"/>
      <c r="G115" s="3"/>
      <c r="H115" s="3"/>
      <c r="I115" s="4"/>
      <c r="J115" s="4"/>
      <c r="K115" s="4"/>
      <c r="L115" s="4">
        <f>K115*100*I115</f>
        <v>0</v>
      </c>
      <c r="M115" s="4">
        <f>K115*100*J115</f>
        <v>0</v>
      </c>
      <c r="N115" s="4" t="str">
        <f>IF(O115="Win",M115,IF(O115="Loss",-L115,""))</f>
        <v/>
      </c>
      <c r="O115" s="4"/>
      <c r="P115" s="3"/>
      <c r="Q115" s="4">
        <f>IF(SUM(N$2:N115)="",Dashboard!B3,Dashboard!B3+SUM(N$2:N115))</f>
        <v>4972</v>
      </c>
      <c r="R115" s="3"/>
    </row>
    <row r="116" spans="1:18">
      <c r="A116" s="3"/>
      <c r="B116" s="3"/>
      <c r="C116" s="3"/>
      <c r="D116" s="3"/>
      <c r="E116" s="3"/>
      <c r="F116" s="3"/>
      <c r="G116" s="3"/>
      <c r="H116" s="3"/>
      <c r="I116" s="4"/>
      <c r="J116" s="4"/>
      <c r="K116" s="4"/>
      <c r="L116" s="4">
        <f>K116*100*I116</f>
        <v>0</v>
      </c>
      <c r="M116" s="4">
        <f>K116*100*J116</f>
        <v>0</v>
      </c>
      <c r="N116" s="4" t="str">
        <f>IF(O116="Win",M116,IF(O116="Loss",-L116,""))</f>
        <v/>
      </c>
      <c r="O116" s="4"/>
      <c r="P116" s="3"/>
      <c r="Q116" s="4">
        <f>IF(SUM(N$2:N116)="",Dashboard!B3,Dashboard!B3+SUM(N$2:N116))</f>
        <v>4972</v>
      </c>
      <c r="R116" s="3"/>
    </row>
    <row r="117" spans="1:18">
      <c r="A117" s="3"/>
      <c r="B117" s="3"/>
      <c r="C117" s="3"/>
      <c r="D117" s="3"/>
      <c r="E117" s="3"/>
      <c r="F117" s="3"/>
      <c r="G117" s="3"/>
      <c r="H117" s="3"/>
      <c r="I117" s="4"/>
      <c r="J117" s="4"/>
      <c r="K117" s="4"/>
      <c r="L117" s="4">
        <f>K117*100*I117</f>
        <v>0</v>
      </c>
      <c r="M117" s="4">
        <f>K117*100*J117</f>
        <v>0</v>
      </c>
      <c r="N117" s="4" t="str">
        <f>IF(O117="Win",M117,IF(O117="Loss",-L117,""))</f>
        <v/>
      </c>
      <c r="O117" s="4"/>
      <c r="P117" s="3"/>
      <c r="Q117" s="4">
        <f>IF(SUM(N$2:N117)="",Dashboard!B3,Dashboard!B3+SUM(N$2:N117))</f>
        <v>4972</v>
      </c>
      <c r="R117" s="3"/>
    </row>
    <row r="118" spans="1:18">
      <c r="A118" s="3"/>
      <c r="B118" s="3"/>
      <c r="C118" s="3"/>
      <c r="D118" s="3"/>
      <c r="E118" s="3"/>
      <c r="F118" s="3"/>
      <c r="G118" s="3"/>
      <c r="H118" s="3"/>
      <c r="I118" s="4"/>
      <c r="J118" s="4"/>
      <c r="K118" s="4"/>
      <c r="L118" s="4">
        <f>K118*100*I118</f>
        <v>0</v>
      </c>
      <c r="M118" s="4">
        <f>K118*100*J118</f>
        <v>0</v>
      </c>
      <c r="N118" s="4" t="str">
        <f>IF(O118="Win",M118,IF(O118="Loss",-L118,""))</f>
        <v/>
      </c>
      <c r="O118" s="4"/>
      <c r="P118" s="3"/>
      <c r="Q118" s="4">
        <f>IF(SUM(N$2:N118)="",Dashboard!B3,Dashboard!B3+SUM(N$2:N118))</f>
        <v>4972</v>
      </c>
      <c r="R118" s="3"/>
    </row>
    <row r="119" spans="1:18">
      <c r="A119" s="3"/>
      <c r="B119" s="3"/>
      <c r="C119" s="3"/>
      <c r="D119" s="3"/>
      <c r="E119" s="3"/>
      <c r="F119" s="3"/>
      <c r="G119" s="3"/>
      <c r="H119" s="3"/>
      <c r="I119" s="4"/>
      <c r="J119" s="4"/>
      <c r="K119" s="4"/>
      <c r="L119" s="4">
        <f>K119*100*I119</f>
        <v>0</v>
      </c>
      <c r="M119" s="4">
        <f>K119*100*J119</f>
        <v>0</v>
      </c>
      <c r="N119" s="4" t="str">
        <f>IF(O119="Win",M119,IF(O119="Loss",-L119,""))</f>
        <v/>
      </c>
      <c r="O119" s="4"/>
      <c r="P119" s="3"/>
      <c r="Q119" s="4">
        <f>IF(SUM(N$2:N119)="",Dashboard!B3,Dashboard!B3+SUM(N$2:N119))</f>
        <v>4972</v>
      </c>
      <c r="R119" s="3"/>
    </row>
    <row r="120" spans="1:18">
      <c r="A120" s="3"/>
      <c r="B120" s="3"/>
      <c r="C120" s="3"/>
      <c r="D120" s="3"/>
      <c r="E120" s="3"/>
      <c r="F120" s="3"/>
      <c r="G120" s="3"/>
      <c r="H120" s="3"/>
      <c r="I120" s="4"/>
      <c r="J120" s="4"/>
      <c r="K120" s="4"/>
      <c r="L120" s="4">
        <f>K120*100*I120</f>
        <v>0</v>
      </c>
      <c r="M120" s="4">
        <f>K120*100*J120</f>
        <v>0</v>
      </c>
      <c r="N120" s="4" t="str">
        <f>IF(O120="Win",M120,IF(O120="Loss",-L120,""))</f>
        <v/>
      </c>
      <c r="O120" s="4"/>
      <c r="P120" s="3"/>
      <c r="Q120" s="4">
        <f>IF(SUM(N$2:N120)="",Dashboard!B3,Dashboard!B3+SUM(N$2:N120))</f>
        <v>4972</v>
      </c>
      <c r="R120" s="3"/>
    </row>
    <row r="121" spans="1:18">
      <c r="A121" s="3"/>
      <c r="B121" s="3"/>
      <c r="C121" s="3"/>
      <c r="D121" s="3"/>
      <c r="E121" s="3"/>
      <c r="F121" s="3"/>
      <c r="G121" s="3"/>
      <c r="H121" s="3"/>
      <c r="I121" s="4"/>
      <c r="J121" s="4"/>
      <c r="K121" s="4"/>
      <c r="L121" s="4">
        <f>K121*100*I121</f>
        <v>0</v>
      </c>
      <c r="M121" s="4">
        <f>K121*100*J121</f>
        <v>0</v>
      </c>
      <c r="N121" s="4" t="str">
        <f>IF(O121="Win",M121,IF(O121="Loss",-L121,""))</f>
        <v/>
      </c>
      <c r="O121" s="4"/>
      <c r="P121" s="3"/>
      <c r="Q121" s="4">
        <f>IF(SUM(N$2:N121)="",Dashboard!B3,Dashboard!B3+SUM(N$2:N121))</f>
        <v>4972</v>
      </c>
      <c r="R121" s="3"/>
    </row>
    <row r="122" spans="1:18">
      <c r="A122" s="3"/>
      <c r="B122" s="3"/>
      <c r="C122" s="3"/>
      <c r="D122" s="3"/>
      <c r="E122" s="3"/>
      <c r="F122" s="3"/>
      <c r="G122" s="3"/>
      <c r="H122" s="3"/>
      <c r="I122" s="4"/>
      <c r="J122" s="4"/>
      <c r="K122" s="4"/>
      <c r="L122" s="4">
        <f>K122*100*I122</f>
        <v>0</v>
      </c>
      <c r="M122" s="4">
        <f>K122*100*J122</f>
        <v>0</v>
      </c>
      <c r="N122" s="4" t="str">
        <f>IF(O122="Win",M122,IF(O122="Loss",-L122,""))</f>
        <v/>
      </c>
      <c r="O122" s="4"/>
      <c r="P122" s="3"/>
      <c r="Q122" s="4">
        <f>IF(SUM(N$2:N122)="",Dashboard!B3,Dashboard!B3+SUM(N$2:N122))</f>
        <v>4972</v>
      </c>
      <c r="R122" s="3"/>
    </row>
    <row r="123" spans="1:18">
      <c r="A123" s="3"/>
      <c r="B123" s="3"/>
      <c r="C123" s="3"/>
      <c r="D123" s="3"/>
      <c r="E123" s="3"/>
      <c r="F123" s="3"/>
      <c r="G123" s="3"/>
      <c r="H123" s="3"/>
      <c r="I123" s="4"/>
      <c r="J123" s="4"/>
      <c r="K123" s="4"/>
      <c r="L123" s="4">
        <f>K123*100*I123</f>
        <v>0</v>
      </c>
      <c r="M123" s="4">
        <f>K123*100*J123</f>
        <v>0</v>
      </c>
      <c r="N123" s="4" t="str">
        <f>IF(O123="Win",M123,IF(O123="Loss",-L123,""))</f>
        <v/>
      </c>
      <c r="O123" s="4"/>
      <c r="P123" s="3"/>
      <c r="Q123" s="4">
        <f>IF(SUM(N$2:N123)="",Dashboard!B3,Dashboard!B3+SUM(N$2:N123))</f>
        <v>4972</v>
      </c>
      <c r="R123" s="3"/>
    </row>
    <row r="124" spans="1:18">
      <c r="A124" s="3"/>
      <c r="B124" s="3"/>
      <c r="C124" s="3"/>
      <c r="D124" s="3"/>
      <c r="E124" s="3"/>
      <c r="F124" s="3"/>
      <c r="G124" s="3"/>
      <c r="H124" s="3"/>
      <c r="I124" s="4"/>
      <c r="J124" s="4"/>
      <c r="K124" s="4"/>
      <c r="L124" s="4">
        <f>K124*100*I124</f>
        <v>0</v>
      </c>
      <c r="M124" s="4">
        <f>K124*100*J124</f>
        <v>0</v>
      </c>
      <c r="N124" s="4" t="str">
        <f>IF(O124="Win",M124,IF(O124="Loss",-L124,""))</f>
        <v/>
      </c>
      <c r="O124" s="4"/>
      <c r="P124" s="3"/>
      <c r="Q124" s="4">
        <f>IF(SUM(N$2:N124)="",Dashboard!B3,Dashboard!B3+SUM(N$2:N124))</f>
        <v>4972</v>
      </c>
      <c r="R124" s="3"/>
    </row>
    <row r="125" spans="1:18">
      <c r="A125" s="3"/>
      <c r="B125" s="3"/>
      <c r="C125" s="3"/>
      <c r="D125" s="3"/>
      <c r="E125" s="3"/>
      <c r="F125" s="3"/>
      <c r="G125" s="3"/>
      <c r="H125" s="3"/>
      <c r="I125" s="4"/>
      <c r="J125" s="4"/>
      <c r="K125" s="4"/>
      <c r="L125" s="4">
        <f>K125*100*I125</f>
        <v>0</v>
      </c>
      <c r="M125" s="4">
        <f>K125*100*J125</f>
        <v>0</v>
      </c>
      <c r="N125" s="4" t="str">
        <f>IF(O125="Win",M125,IF(O125="Loss",-L125,""))</f>
        <v/>
      </c>
      <c r="O125" s="4"/>
      <c r="P125" s="3"/>
      <c r="Q125" s="4">
        <f>IF(SUM(N$2:N125)="",Dashboard!B3,Dashboard!B3+SUM(N$2:N125))</f>
        <v>4972</v>
      </c>
      <c r="R125" s="3"/>
    </row>
    <row r="126" spans="1:18">
      <c r="A126" s="3"/>
      <c r="B126" s="3"/>
      <c r="C126" s="3"/>
      <c r="D126" s="3"/>
      <c r="E126" s="3"/>
      <c r="F126" s="3"/>
      <c r="G126" s="3"/>
      <c r="H126" s="3"/>
      <c r="I126" s="4"/>
      <c r="J126" s="4"/>
      <c r="K126" s="4"/>
      <c r="L126" s="4">
        <f>K126*100*I126</f>
        <v>0</v>
      </c>
      <c r="M126" s="4">
        <f>K126*100*J126</f>
        <v>0</v>
      </c>
      <c r="N126" s="4" t="str">
        <f>IF(O126="Win",M126,IF(O126="Loss",-L126,""))</f>
        <v/>
      </c>
      <c r="O126" s="4"/>
      <c r="P126" s="3"/>
      <c r="Q126" s="4">
        <f>IF(SUM(N$2:N126)="",Dashboard!B3,Dashboard!B3+SUM(N$2:N126))</f>
        <v>4972</v>
      </c>
      <c r="R126" s="3"/>
    </row>
    <row r="127" spans="1:18">
      <c r="A127" s="3"/>
      <c r="B127" s="3"/>
      <c r="C127" s="3"/>
      <c r="D127" s="3"/>
      <c r="E127" s="3"/>
      <c r="F127" s="3"/>
      <c r="G127" s="3"/>
      <c r="H127" s="3"/>
      <c r="I127" s="4"/>
      <c r="J127" s="4"/>
      <c r="K127" s="4"/>
      <c r="L127" s="4">
        <f>K127*100*I127</f>
        <v>0</v>
      </c>
      <c r="M127" s="4">
        <f>K127*100*J127</f>
        <v>0</v>
      </c>
      <c r="N127" s="4" t="str">
        <f>IF(O127="Win",M127,IF(O127="Loss",-L127,""))</f>
        <v/>
      </c>
      <c r="O127" s="4"/>
      <c r="P127" s="3"/>
      <c r="Q127" s="4">
        <f>IF(SUM(N$2:N127)="",Dashboard!B3,Dashboard!B3+SUM(N$2:N127))</f>
        <v>4972</v>
      </c>
      <c r="R127" s="3"/>
    </row>
    <row r="128" spans="1:18">
      <c r="A128" s="3"/>
      <c r="B128" s="3"/>
      <c r="C128" s="3"/>
      <c r="D128" s="3"/>
      <c r="E128" s="3"/>
      <c r="F128" s="3"/>
      <c r="G128" s="3"/>
      <c r="H128" s="3"/>
      <c r="I128" s="4"/>
      <c r="J128" s="4"/>
      <c r="K128" s="4"/>
      <c r="L128" s="4">
        <f>K128*100*I128</f>
        <v>0</v>
      </c>
      <c r="M128" s="4">
        <f>K128*100*J128</f>
        <v>0</v>
      </c>
      <c r="N128" s="4" t="str">
        <f>IF(O128="Win",M128,IF(O128="Loss",-L128,""))</f>
        <v/>
      </c>
      <c r="O128" s="4"/>
      <c r="P128" s="3"/>
      <c r="Q128" s="4">
        <f>IF(SUM(N$2:N128)="",Dashboard!B3,Dashboard!B3+SUM(N$2:N128))</f>
        <v>4972</v>
      </c>
      <c r="R128" s="3"/>
    </row>
    <row r="129" spans="1:18">
      <c r="A129" s="3"/>
      <c r="B129" s="3"/>
      <c r="C129" s="3"/>
      <c r="D129" s="3"/>
      <c r="E129" s="3"/>
      <c r="F129" s="3"/>
      <c r="G129" s="3"/>
      <c r="H129" s="3"/>
      <c r="I129" s="4"/>
      <c r="J129" s="4"/>
      <c r="K129" s="4"/>
      <c r="L129" s="4">
        <f>K129*100*I129</f>
        <v>0</v>
      </c>
      <c r="M129" s="4">
        <f>K129*100*J129</f>
        <v>0</v>
      </c>
      <c r="N129" s="4" t="str">
        <f>IF(O129="Win",M129,IF(O129="Loss",-L129,""))</f>
        <v/>
      </c>
      <c r="O129" s="4"/>
      <c r="P129" s="3"/>
      <c r="Q129" s="4">
        <f>IF(SUM(N$2:N129)="",Dashboard!B3,Dashboard!B3+SUM(N$2:N129))</f>
        <v>4972</v>
      </c>
      <c r="R129" s="3"/>
    </row>
    <row r="130" spans="1:18">
      <c r="A130" s="3"/>
      <c r="B130" s="3"/>
      <c r="C130" s="3"/>
      <c r="D130" s="3"/>
      <c r="E130" s="3"/>
      <c r="F130" s="3"/>
      <c r="G130" s="3"/>
      <c r="H130" s="3"/>
      <c r="I130" s="4"/>
      <c r="J130" s="4"/>
      <c r="K130" s="4"/>
      <c r="L130" s="4">
        <f>K130*100*I130</f>
        <v>0</v>
      </c>
      <c r="M130" s="4">
        <f>K130*100*J130</f>
        <v>0</v>
      </c>
      <c r="N130" s="4" t="str">
        <f>IF(O130="Win",M130,IF(O130="Loss",-L130,""))</f>
        <v/>
      </c>
      <c r="O130" s="4"/>
      <c r="P130" s="3"/>
      <c r="Q130" s="4">
        <f>IF(SUM(N$2:N130)="",Dashboard!B3,Dashboard!B3+SUM(N$2:N130))</f>
        <v>4972</v>
      </c>
      <c r="R130" s="3"/>
    </row>
    <row r="131" spans="1:18">
      <c r="A131" s="3"/>
      <c r="B131" s="3"/>
      <c r="C131" s="3"/>
      <c r="D131" s="3"/>
      <c r="E131" s="3"/>
      <c r="F131" s="3"/>
      <c r="G131" s="3"/>
      <c r="H131" s="3"/>
      <c r="I131" s="4"/>
      <c r="J131" s="4"/>
      <c r="K131" s="4"/>
      <c r="L131" s="4">
        <f>K131*100*I131</f>
        <v>0</v>
      </c>
      <c r="M131" s="4">
        <f>K131*100*J131</f>
        <v>0</v>
      </c>
      <c r="N131" s="4" t="str">
        <f>IF(O131="Win",M131,IF(O131="Loss",-L131,""))</f>
        <v/>
      </c>
      <c r="O131" s="4"/>
      <c r="P131" s="3"/>
      <c r="Q131" s="4">
        <f>IF(SUM(N$2:N131)="",Dashboard!B3,Dashboard!B3+SUM(N$2:N131))</f>
        <v>4972</v>
      </c>
      <c r="R131" s="3"/>
    </row>
    <row r="132" spans="1:18">
      <c r="A132" s="3"/>
      <c r="B132" s="3"/>
      <c r="C132" s="3"/>
      <c r="D132" s="3"/>
      <c r="E132" s="3"/>
      <c r="F132" s="3"/>
      <c r="G132" s="3"/>
      <c r="H132" s="3"/>
      <c r="I132" s="4"/>
      <c r="J132" s="4"/>
      <c r="K132" s="4"/>
      <c r="L132" s="4">
        <f>K132*100*I132</f>
        <v>0</v>
      </c>
      <c r="M132" s="4">
        <f>K132*100*J132</f>
        <v>0</v>
      </c>
      <c r="N132" s="4" t="str">
        <f>IF(O132="Win",M132,IF(O132="Loss",-L132,""))</f>
        <v/>
      </c>
      <c r="O132" s="4"/>
      <c r="P132" s="3"/>
      <c r="Q132" s="4">
        <f>IF(SUM(N$2:N132)="",Dashboard!B3,Dashboard!B3+SUM(N$2:N132))</f>
        <v>4972</v>
      </c>
      <c r="R132" s="3"/>
    </row>
    <row r="133" spans="1:18">
      <c r="A133" s="3"/>
      <c r="B133" s="3"/>
      <c r="C133" s="3"/>
      <c r="D133" s="3"/>
      <c r="E133" s="3"/>
      <c r="F133" s="3"/>
      <c r="G133" s="3"/>
      <c r="H133" s="3"/>
      <c r="I133" s="4"/>
      <c r="J133" s="4"/>
      <c r="K133" s="4"/>
      <c r="L133" s="4">
        <f>K133*100*I133</f>
        <v>0</v>
      </c>
      <c r="M133" s="4">
        <f>K133*100*J133</f>
        <v>0</v>
      </c>
      <c r="N133" s="4" t="str">
        <f>IF(O133="Win",M133,IF(O133="Loss",-L133,""))</f>
        <v/>
      </c>
      <c r="O133" s="4"/>
      <c r="P133" s="3"/>
      <c r="Q133" s="4">
        <f>IF(SUM(N$2:N133)="",Dashboard!B3,Dashboard!B3+SUM(N$2:N133))</f>
        <v>4972</v>
      </c>
      <c r="R133" s="3"/>
    </row>
    <row r="134" spans="1:18">
      <c r="A134" s="3"/>
      <c r="B134" s="3"/>
      <c r="C134" s="3"/>
      <c r="D134" s="3"/>
      <c r="E134" s="3"/>
      <c r="F134" s="3"/>
      <c r="G134" s="3"/>
      <c r="H134" s="3"/>
      <c r="I134" s="4"/>
      <c r="J134" s="4"/>
      <c r="K134" s="4"/>
      <c r="L134" s="4">
        <f>K134*100*I134</f>
        <v>0</v>
      </c>
      <c r="M134" s="4">
        <f>K134*100*J134</f>
        <v>0</v>
      </c>
      <c r="N134" s="4" t="str">
        <f>IF(O134="Win",M134,IF(O134="Loss",-L134,""))</f>
        <v/>
      </c>
      <c r="O134" s="4"/>
      <c r="P134" s="3"/>
      <c r="Q134" s="4">
        <f>IF(SUM(N$2:N134)="",Dashboard!B3,Dashboard!B3+SUM(N$2:N134))</f>
        <v>4972</v>
      </c>
      <c r="R134" s="3"/>
    </row>
    <row r="135" spans="1:18">
      <c r="A135" s="3"/>
      <c r="B135" s="3"/>
      <c r="C135" s="3"/>
      <c r="D135" s="3"/>
      <c r="E135" s="3"/>
      <c r="F135" s="3"/>
      <c r="G135" s="3"/>
      <c r="H135" s="3"/>
      <c r="I135" s="4"/>
      <c r="J135" s="4"/>
      <c r="K135" s="4"/>
      <c r="L135" s="4">
        <f>K135*100*I135</f>
        <v>0</v>
      </c>
      <c r="M135" s="4">
        <f>K135*100*J135</f>
        <v>0</v>
      </c>
      <c r="N135" s="4" t="str">
        <f>IF(O135="Win",M135,IF(O135="Loss",-L135,""))</f>
        <v/>
      </c>
      <c r="O135" s="4"/>
      <c r="P135" s="3"/>
      <c r="Q135" s="4">
        <f>IF(SUM(N$2:N135)="",Dashboard!B3,Dashboard!B3+SUM(N$2:N135))</f>
        <v>4972</v>
      </c>
      <c r="R135" s="3"/>
    </row>
    <row r="136" spans="1:18">
      <c r="A136" s="3"/>
      <c r="B136" s="3"/>
      <c r="C136" s="3"/>
      <c r="D136" s="3"/>
      <c r="E136" s="3"/>
      <c r="F136" s="3"/>
      <c r="G136" s="3"/>
      <c r="H136" s="3"/>
      <c r="I136" s="4"/>
      <c r="J136" s="4"/>
      <c r="K136" s="4"/>
      <c r="L136" s="4">
        <f>K136*100*I136</f>
        <v>0</v>
      </c>
      <c r="M136" s="4">
        <f>K136*100*J136</f>
        <v>0</v>
      </c>
      <c r="N136" s="4" t="str">
        <f>IF(O136="Win",M136,IF(O136="Loss",-L136,""))</f>
        <v/>
      </c>
      <c r="O136" s="4"/>
      <c r="P136" s="3"/>
      <c r="Q136" s="4">
        <f>IF(SUM(N$2:N136)="",Dashboard!B3,Dashboard!B3+SUM(N$2:N136))</f>
        <v>4972</v>
      </c>
      <c r="R136" s="3"/>
    </row>
    <row r="137" spans="1:18">
      <c r="A137" s="3"/>
      <c r="B137" s="3"/>
      <c r="C137" s="3"/>
      <c r="D137" s="3"/>
      <c r="E137" s="3"/>
      <c r="F137" s="3"/>
      <c r="G137" s="3"/>
      <c r="H137" s="3"/>
      <c r="I137" s="4"/>
      <c r="J137" s="4"/>
      <c r="K137" s="4"/>
      <c r="L137" s="4">
        <f>K137*100*I137</f>
        <v>0</v>
      </c>
      <c r="M137" s="4">
        <f>K137*100*J137</f>
        <v>0</v>
      </c>
      <c r="N137" s="4" t="str">
        <f>IF(O137="Win",M137,IF(O137="Loss",-L137,""))</f>
        <v/>
      </c>
      <c r="O137" s="4"/>
      <c r="P137" s="3"/>
      <c r="Q137" s="4">
        <f>IF(SUM(N$2:N137)="",Dashboard!B3,Dashboard!B3+SUM(N$2:N137))</f>
        <v>4972</v>
      </c>
      <c r="R137" s="3"/>
    </row>
    <row r="138" spans="1:18">
      <c r="A138" s="3"/>
      <c r="B138" s="3"/>
      <c r="C138" s="3"/>
      <c r="D138" s="3"/>
      <c r="E138" s="3"/>
      <c r="F138" s="3"/>
      <c r="G138" s="3"/>
      <c r="H138" s="3"/>
      <c r="I138" s="4"/>
      <c r="J138" s="4"/>
      <c r="K138" s="4"/>
      <c r="L138" s="4">
        <f>K138*100*I138</f>
        <v>0</v>
      </c>
      <c r="M138" s="4">
        <f>K138*100*J138</f>
        <v>0</v>
      </c>
      <c r="N138" s="4" t="str">
        <f>IF(O138="Win",M138,IF(O138="Loss",-L138,""))</f>
        <v/>
      </c>
      <c r="O138" s="4"/>
      <c r="P138" s="3"/>
      <c r="Q138" s="4">
        <f>IF(SUM(N$2:N138)="",Dashboard!B3,Dashboard!B3+SUM(N$2:N138))</f>
        <v>4972</v>
      </c>
      <c r="R138" s="3"/>
    </row>
    <row r="139" spans="1:18">
      <c r="A139" s="3"/>
      <c r="B139" s="3"/>
      <c r="C139" s="3"/>
      <c r="D139" s="3"/>
      <c r="E139" s="3"/>
      <c r="F139" s="3"/>
      <c r="G139" s="3"/>
      <c r="H139" s="3"/>
      <c r="I139" s="4"/>
      <c r="J139" s="4"/>
      <c r="K139" s="4"/>
      <c r="L139" s="4">
        <f>K139*100*I139</f>
        <v>0</v>
      </c>
      <c r="M139" s="4">
        <f>K139*100*J139</f>
        <v>0</v>
      </c>
      <c r="N139" s="4" t="str">
        <f>IF(O139="Win",M139,IF(O139="Loss",-L139,""))</f>
        <v/>
      </c>
      <c r="O139" s="4"/>
      <c r="P139" s="3"/>
      <c r="Q139" s="4">
        <f>IF(SUM(N$2:N139)="",Dashboard!B3,Dashboard!B3+SUM(N$2:N139))</f>
        <v>4972</v>
      </c>
      <c r="R139" s="3"/>
    </row>
    <row r="140" spans="1:18">
      <c r="A140" s="3"/>
      <c r="B140" s="3"/>
      <c r="C140" s="3"/>
      <c r="D140" s="3"/>
      <c r="E140" s="3"/>
      <c r="F140" s="3"/>
      <c r="G140" s="3"/>
      <c r="H140" s="3"/>
      <c r="I140" s="4"/>
      <c r="J140" s="4"/>
      <c r="K140" s="4"/>
      <c r="L140" s="4">
        <f>K140*100*I140</f>
        <v>0</v>
      </c>
      <c r="M140" s="4">
        <f>K140*100*J140</f>
        <v>0</v>
      </c>
      <c r="N140" s="4" t="str">
        <f>IF(O140="Win",M140,IF(O140="Loss",-L140,""))</f>
        <v/>
      </c>
      <c r="O140" s="4"/>
      <c r="P140" s="3"/>
      <c r="Q140" s="4">
        <f>IF(SUM(N$2:N140)="",Dashboard!B3,Dashboard!B3+SUM(N$2:N140))</f>
        <v>4972</v>
      </c>
      <c r="R140" s="3"/>
    </row>
    <row r="141" spans="1:18">
      <c r="A141" s="3"/>
      <c r="B141" s="3"/>
      <c r="C141" s="3"/>
      <c r="D141" s="3"/>
      <c r="E141" s="3"/>
      <c r="F141" s="3"/>
      <c r="G141" s="3"/>
      <c r="H141" s="3"/>
      <c r="I141" s="4"/>
      <c r="J141" s="4"/>
      <c r="K141" s="4"/>
      <c r="L141" s="4">
        <f>K141*100*I141</f>
        <v>0</v>
      </c>
      <c r="M141" s="4">
        <f>K141*100*J141</f>
        <v>0</v>
      </c>
      <c r="N141" s="4" t="str">
        <f>IF(O141="Win",M141,IF(O141="Loss",-L141,""))</f>
        <v/>
      </c>
      <c r="O141" s="4"/>
      <c r="P141" s="3"/>
      <c r="Q141" s="4">
        <f>IF(SUM(N$2:N141)="",Dashboard!B3,Dashboard!B3+SUM(N$2:N141))</f>
        <v>4972</v>
      </c>
      <c r="R141" s="3"/>
    </row>
    <row r="142" spans="1:18">
      <c r="A142" s="3"/>
      <c r="B142" s="3"/>
      <c r="C142" s="3"/>
      <c r="D142" s="3"/>
      <c r="E142" s="3"/>
      <c r="F142" s="3"/>
      <c r="G142" s="3"/>
      <c r="H142" s="3"/>
      <c r="I142" s="4"/>
      <c r="J142" s="4"/>
      <c r="K142" s="4"/>
      <c r="L142" s="4">
        <f>K142*100*I142</f>
        <v>0</v>
      </c>
      <c r="M142" s="4">
        <f>K142*100*J142</f>
        <v>0</v>
      </c>
      <c r="N142" s="4" t="str">
        <f>IF(O142="Win",M142,IF(O142="Loss",-L142,""))</f>
        <v/>
      </c>
      <c r="O142" s="4"/>
      <c r="P142" s="3"/>
      <c r="Q142" s="4">
        <f>IF(SUM(N$2:N142)="",Dashboard!B3,Dashboard!B3+SUM(N$2:N142))</f>
        <v>4972</v>
      </c>
      <c r="R142" s="3"/>
    </row>
    <row r="143" spans="1:18">
      <c r="A143" s="3"/>
      <c r="B143" s="3"/>
      <c r="C143" s="3"/>
      <c r="D143" s="3"/>
      <c r="E143" s="3"/>
      <c r="F143" s="3"/>
      <c r="G143" s="3"/>
      <c r="H143" s="3"/>
      <c r="I143" s="4"/>
      <c r="J143" s="4"/>
      <c r="K143" s="4"/>
      <c r="L143" s="4">
        <f>K143*100*I143</f>
        <v>0</v>
      </c>
      <c r="M143" s="4">
        <f>K143*100*J143</f>
        <v>0</v>
      </c>
      <c r="N143" s="4" t="str">
        <f>IF(O143="Win",M143,IF(O143="Loss",-L143,""))</f>
        <v/>
      </c>
      <c r="O143" s="4"/>
      <c r="P143" s="3"/>
      <c r="Q143" s="4">
        <f>IF(SUM(N$2:N143)="",Dashboard!B3,Dashboard!B3+SUM(N$2:N143))</f>
        <v>4972</v>
      </c>
      <c r="R143" s="3"/>
    </row>
    <row r="144" spans="1:18">
      <c r="A144" s="3"/>
      <c r="B144" s="3"/>
      <c r="C144" s="3"/>
      <c r="D144" s="3"/>
      <c r="E144" s="3"/>
      <c r="F144" s="3"/>
      <c r="G144" s="3"/>
      <c r="H144" s="3"/>
      <c r="I144" s="4"/>
      <c r="J144" s="4"/>
      <c r="K144" s="4"/>
      <c r="L144" s="4">
        <f>K144*100*I144</f>
        <v>0</v>
      </c>
      <c r="M144" s="4">
        <f>K144*100*J144</f>
        <v>0</v>
      </c>
      <c r="N144" s="4" t="str">
        <f>IF(O144="Win",M144,IF(O144="Loss",-L144,""))</f>
        <v/>
      </c>
      <c r="O144" s="4"/>
      <c r="P144" s="3"/>
      <c r="Q144" s="4">
        <f>IF(SUM(N$2:N144)="",Dashboard!B3,Dashboard!B3+SUM(N$2:N144))</f>
        <v>4972</v>
      </c>
      <c r="R144" s="3"/>
    </row>
    <row r="145" spans="1:18">
      <c r="A145" s="3"/>
      <c r="B145" s="3"/>
      <c r="C145" s="3"/>
      <c r="D145" s="3"/>
      <c r="E145" s="3"/>
      <c r="F145" s="3"/>
      <c r="G145" s="3"/>
      <c r="H145" s="3"/>
      <c r="I145" s="4"/>
      <c r="J145" s="4"/>
      <c r="K145" s="4"/>
      <c r="L145" s="4">
        <f>K145*100*I145</f>
        <v>0</v>
      </c>
      <c r="M145" s="4">
        <f>K145*100*J145</f>
        <v>0</v>
      </c>
      <c r="N145" s="4" t="str">
        <f>IF(O145="Win",M145,IF(O145="Loss",-L145,""))</f>
        <v/>
      </c>
      <c r="O145" s="4"/>
      <c r="P145" s="3"/>
      <c r="Q145" s="4">
        <f>IF(SUM(N$2:N145)="",Dashboard!B3,Dashboard!B3+SUM(N$2:N145))</f>
        <v>4972</v>
      </c>
      <c r="R145" s="3"/>
    </row>
    <row r="146" spans="1:18">
      <c r="A146" s="3"/>
      <c r="B146" s="3"/>
      <c r="C146" s="3"/>
      <c r="D146" s="3"/>
      <c r="E146" s="3"/>
      <c r="F146" s="3"/>
      <c r="G146" s="3"/>
      <c r="H146" s="3"/>
      <c r="I146" s="4"/>
      <c r="J146" s="4"/>
      <c r="K146" s="4"/>
      <c r="L146" s="4">
        <f>K146*100*I146</f>
        <v>0</v>
      </c>
      <c r="M146" s="4">
        <f>K146*100*J146</f>
        <v>0</v>
      </c>
      <c r="N146" s="4" t="str">
        <f>IF(O146="Win",M146,IF(O146="Loss",-L146,""))</f>
        <v/>
      </c>
      <c r="O146" s="4"/>
      <c r="P146" s="3"/>
      <c r="Q146" s="4">
        <f>IF(SUM(N$2:N146)="",Dashboard!B3,Dashboard!B3+SUM(N$2:N146))</f>
        <v>4972</v>
      </c>
      <c r="R146" s="3"/>
    </row>
    <row r="147" spans="1:18">
      <c r="A147" s="3"/>
      <c r="B147" s="3"/>
      <c r="C147" s="3"/>
      <c r="D147" s="3"/>
      <c r="E147" s="3"/>
      <c r="F147" s="3"/>
      <c r="G147" s="3"/>
      <c r="H147" s="3"/>
      <c r="I147" s="4"/>
      <c r="J147" s="4"/>
      <c r="K147" s="4"/>
      <c r="L147" s="4">
        <f>K147*100*I147</f>
        <v>0</v>
      </c>
      <c r="M147" s="4">
        <f>K147*100*J147</f>
        <v>0</v>
      </c>
      <c r="N147" s="4" t="str">
        <f>IF(O147="Win",M147,IF(O147="Loss",-L147,""))</f>
        <v/>
      </c>
      <c r="O147" s="4"/>
      <c r="P147" s="3"/>
      <c r="Q147" s="4">
        <f>IF(SUM(N$2:N147)="",Dashboard!B3,Dashboard!B3+SUM(N$2:N147))</f>
        <v>4972</v>
      </c>
      <c r="R147" s="3"/>
    </row>
    <row r="148" spans="1:18">
      <c r="A148" s="3"/>
      <c r="B148" s="3"/>
      <c r="C148" s="3"/>
      <c r="D148" s="3"/>
      <c r="E148" s="3"/>
      <c r="F148" s="3"/>
      <c r="G148" s="3"/>
      <c r="H148" s="3"/>
      <c r="I148" s="4"/>
      <c r="J148" s="4"/>
      <c r="K148" s="4"/>
      <c r="L148" s="4">
        <f>K148*100*I148</f>
        <v>0</v>
      </c>
      <c r="M148" s="4">
        <f>K148*100*J148</f>
        <v>0</v>
      </c>
      <c r="N148" s="4" t="str">
        <f>IF(O148="Win",M148,IF(O148="Loss",-L148,""))</f>
        <v/>
      </c>
      <c r="O148" s="4"/>
      <c r="P148" s="3"/>
      <c r="Q148" s="4">
        <f>IF(SUM(N$2:N148)="",Dashboard!B3,Dashboard!B3+SUM(N$2:N148))</f>
        <v>4972</v>
      </c>
      <c r="R148" s="3"/>
    </row>
    <row r="149" spans="1:18">
      <c r="A149" s="3"/>
      <c r="B149" s="3"/>
      <c r="C149" s="3"/>
      <c r="D149" s="3"/>
      <c r="E149" s="3"/>
      <c r="F149" s="3"/>
      <c r="G149" s="3"/>
      <c r="H149" s="3"/>
      <c r="I149" s="4"/>
      <c r="J149" s="4"/>
      <c r="K149" s="4"/>
      <c r="L149" s="4">
        <f>K149*100*I149</f>
        <v>0</v>
      </c>
      <c r="M149" s="4">
        <f>K149*100*J149</f>
        <v>0</v>
      </c>
      <c r="N149" s="4" t="str">
        <f>IF(O149="Win",M149,IF(O149="Loss",-L149,""))</f>
        <v/>
      </c>
      <c r="O149" s="4"/>
      <c r="P149" s="3"/>
      <c r="Q149" s="4">
        <f>IF(SUM(N$2:N149)="",Dashboard!B3,Dashboard!B3+SUM(N$2:N149))</f>
        <v>4972</v>
      </c>
      <c r="R149" s="3"/>
    </row>
    <row r="150" spans="1:18">
      <c r="A150" s="3"/>
      <c r="B150" s="3"/>
      <c r="C150" s="3"/>
      <c r="D150" s="3"/>
      <c r="E150" s="3"/>
      <c r="F150" s="3"/>
      <c r="G150" s="3"/>
      <c r="H150" s="3"/>
      <c r="I150" s="4"/>
      <c r="J150" s="4"/>
      <c r="K150" s="4"/>
      <c r="L150" s="4">
        <f>K150*100*I150</f>
        <v>0</v>
      </c>
      <c r="M150" s="4">
        <f>K150*100*J150</f>
        <v>0</v>
      </c>
      <c r="N150" s="4" t="str">
        <f>IF(O150="Win",M150,IF(O150="Loss",-L150,""))</f>
        <v/>
      </c>
      <c r="O150" s="4"/>
      <c r="P150" s="3"/>
      <c r="Q150" s="4">
        <f>IF(SUM(N$2:N150)="",Dashboard!B3,Dashboard!B3+SUM(N$2:N150))</f>
        <v>4972</v>
      </c>
      <c r="R150" s="3"/>
    </row>
    <row r="151" spans="1:18">
      <c r="A151" s="3"/>
      <c r="B151" s="3"/>
      <c r="C151" s="3"/>
      <c r="D151" s="3"/>
      <c r="E151" s="3"/>
      <c r="F151" s="3"/>
      <c r="G151" s="3"/>
      <c r="H151" s="3"/>
      <c r="I151" s="4"/>
      <c r="J151" s="4"/>
      <c r="K151" s="4"/>
      <c r="L151" s="4">
        <f>K151*100*I151</f>
        <v>0</v>
      </c>
      <c r="M151" s="4">
        <f>K151*100*J151</f>
        <v>0</v>
      </c>
      <c r="N151" s="4" t="str">
        <f>IF(O151="Win",M151,IF(O151="Loss",-L151,""))</f>
        <v/>
      </c>
      <c r="O151" s="4"/>
      <c r="P151" s="3"/>
      <c r="Q151" s="4">
        <f>IF(SUM(N$2:N151)="",Dashboard!B3,Dashboard!B3+SUM(N$2:N151))</f>
        <v>4972</v>
      </c>
      <c r="R151" s="3"/>
    </row>
    <row r="152" spans="1:18">
      <c r="A152" s="3"/>
      <c r="B152" s="3"/>
      <c r="C152" s="3"/>
      <c r="D152" s="3"/>
      <c r="E152" s="3"/>
      <c r="F152" s="3"/>
      <c r="G152" s="3"/>
      <c r="H152" s="3"/>
      <c r="I152" s="4"/>
      <c r="J152" s="4"/>
      <c r="K152" s="4"/>
      <c r="L152" s="4">
        <f>K152*100*I152</f>
        <v>0</v>
      </c>
      <c r="M152" s="4">
        <f>K152*100*J152</f>
        <v>0</v>
      </c>
      <c r="N152" s="4" t="str">
        <f>IF(O152="Win",M152,IF(O152="Loss",-L152,""))</f>
        <v/>
      </c>
      <c r="O152" s="4"/>
      <c r="P152" s="3"/>
      <c r="Q152" s="4">
        <f>IF(SUM(N$2:N152)="",Dashboard!B3,Dashboard!B3+SUM(N$2:N152))</f>
        <v>4972</v>
      </c>
      <c r="R152" s="3"/>
    </row>
    <row r="153" spans="1:18">
      <c r="A153" s="3"/>
      <c r="B153" s="3"/>
      <c r="C153" s="3"/>
      <c r="D153" s="3"/>
      <c r="E153" s="3"/>
      <c r="F153" s="3"/>
      <c r="G153" s="3"/>
      <c r="H153" s="3"/>
      <c r="I153" s="4"/>
      <c r="J153" s="4"/>
      <c r="K153" s="4"/>
      <c r="L153" s="4">
        <f>K153*100*I153</f>
        <v>0</v>
      </c>
      <c r="M153" s="4">
        <f>K153*100*J153</f>
        <v>0</v>
      </c>
      <c r="N153" s="4" t="str">
        <f>IF(O153="Win",M153,IF(O153="Loss",-L153,""))</f>
        <v/>
      </c>
      <c r="O153" s="4"/>
      <c r="P153" s="3"/>
      <c r="Q153" s="4">
        <f>IF(SUM(N$2:N153)="",Dashboard!B3,Dashboard!B3+SUM(N$2:N153))</f>
        <v>4972</v>
      </c>
      <c r="R153" s="3"/>
    </row>
    <row r="154" spans="1:18">
      <c r="A154" s="3"/>
      <c r="B154" s="3"/>
      <c r="C154" s="3"/>
      <c r="D154" s="3"/>
      <c r="E154" s="3"/>
      <c r="F154" s="3"/>
      <c r="G154" s="3"/>
      <c r="H154" s="3"/>
      <c r="I154" s="4"/>
      <c r="J154" s="4"/>
      <c r="K154" s="4"/>
      <c r="L154" s="4">
        <f>K154*100*I154</f>
        <v>0</v>
      </c>
      <c r="M154" s="4">
        <f>K154*100*J154</f>
        <v>0</v>
      </c>
      <c r="N154" s="4" t="str">
        <f>IF(O154="Win",M154,IF(O154="Loss",-L154,""))</f>
        <v/>
      </c>
      <c r="O154" s="4"/>
      <c r="P154" s="3"/>
      <c r="Q154" s="4">
        <f>IF(SUM(N$2:N154)="",Dashboard!B3,Dashboard!B3+SUM(N$2:N154))</f>
        <v>4972</v>
      </c>
      <c r="R154" s="3"/>
    </row>
    <row r="155" spans="1:18">
      <c r="A155" s="3"/>
      <c r="B155" s="3"/>
      <c r="C155" s="3"/>
      <c r="D155" s="3"/>
      <c r="E155" s="3"/>
      <c r="F155" s="3"/>
      <c r="G155" s="3"/>
      <c r="H155" s="3"/>
      <c r="I155" s="4"/>
      <c r="J155" s="4"/>
      <c r="K155" s="4"/>
      <c r="L155" s="4">
        <f>K155*100*I155</f>
        <v>0</v>
      </c>
      <c r="M155" s="4">
        <f>K155*100*J155</f>
        <v>0</v>
      </c>
      <c r="N155" s="4" t="str">
        <f>IF(O155="Win",M155,IF(O155="Loss",-L155,""))</f>
        <v/>
      </c>
      <c r="O155" s="4"/>
      <c r="P155" s="3"/>
      <c r="Q155" s="4">
        <f>IF(SUM(N$2:N155)="",Dashboard!B3,Dashboard!B3+SUM(N$2:N155))</f>
        <v>4972</v>
      </c>
      <c r="R155" s="3"/>
    </row>
    <row r="156" spans="1:18">
      <c r="A156" s="3"/>
      <c r="B156" s="3"/>
      <c r="C156" s="3"/>
      <c r="D156" s="3"/>
      <c r="E156" s="3"/>
      <c r="F156" s="3"/>
      <c r="G156" s="3"/>
      <c r="H156" s="3"/>
      <c r="I156" s="4"/>
      <c r="J156" s="4"/>
      <c r="K156" s="4"/>
      <c r="L156" s="4">
        <f>K156*100*I156</f>
        <v>0</v>
      </c>
      <c r="M156" s="4">
        <f>K156*100*J156</f>
        <v>0</v>
      </c>
      <c r="N156" s="4" t="str">
        <f>IF(O156="Win",M156,IF(O156="Loss",-L156,""))</f>
        <v/>
      </c>
      <c r="O156" s="4"/>
      <c r="P156" s="3"/>
      <c r="Q156" s="4">
        <f>IF(SUM(N$2:N156)="",Dashboard!B3,Dashboard!B3+SUM(N$2:N156))</f>
        <v>4972</v>
      </c>
      <c r="R156" s="3"/>
    </row>
    <row r="157" spans="1:18">
      <c r="A157" s="3"/>
      <c r="B157" s="3"/>
      <c r="C157" s="3"/>
      <c r="D157" s="3"/>
      <c r="E157" s="3"/>
      <c r="F157" s="3"/>
      <c r="G157" s="3"/>
      <c r="H157" s="3"/>
      <c r="I157" s="4"/>
      <c r="J157" s="4"/>
      <c r="K157" s="4"/>
      <c r="L157" s="4">
        <f>K157*100*I157</f>
        <v>0</v>
      </c>
      <c r="M157" s="4">
        <f>K157*100*J157</f>
        <v>0</v>
      </c>
      <c r="N157" s="4" t="str">
        <f>IF(O157="Win",M157,IF(O157="Loss",-L157,""))</f>
        <v/>
      </c>
      <c r="O157" s="4"/>
      <c r="P157" s="3"/>
      <c r="Q157" s="4">
        <f>IF(SUM(N$2:N157)="",Dashboard!B3,Dashboard!B3+SUM(N$2:N157))</f>
        <v>4972</v>
      </c>
      <c r="R157" s="3"/>
    </row>
    <row r="158" spans="1:18">
      <c r="A158" s="3"/>
      <c r="B158" s="3"/>
      <c r="C158" s="3"/>
      <c r="D158" s="3"/>
      <c r="E158" s="3"/>
      <c r="F158" s="3"/>
      <c r="G158" s="3"/>
      <c r="H158" s="3"/>
      <c r="I158" s="4"/>
      <c r="J158" s="4"/>
      <c r="K158" s="4"/>
      <c r="L158" s="4">
        <f>K158*100*I158</f>
        <v>0</v>
      </c>
      <c r="M158" s="4">
        <f>K158*100*J158</f>
        <v>0</v>
      </c>
      <c r="N158" s="4" t="str">
        <f>IF(O158="Win",M158,IF(O158="Loss",-L158,""))</f>
        <v/>
      </c>
      <c r="O158" s="4"/>
      <c r="P158" s="3"/>
      <c r="Q158" s="4">
        <f>IF(SUM(N$2:N158)="",Dashboard!B3,Dashboard!B3+SUM(N$2:N158))</f>
        <v>4972</v>
      </c>
      <c r="R158" s="3"/>
    </row>
    <row r="159" spans="1:18">
      <c r="A159" s="3"/>
      <c r="B159" s="3"/>
      <c r="C159" s="3"/>
      <c r="D159" s="3"/>
      <c r="E159" s="3"/>
      <c r="F159" s="3"/>
      <c r="G159" s="3"/>
      <c r="H159" s="3"/>
      <c r="I159" s="4"/>
      <c r="J159" s="4"/>
      <c r="K159" s="4"/>
      <c r="L159" s="4">
        <f>K159*100*I159</f>
        <v>0</v>
      </c>
      <c r="M159" s="4">
        <f>K159*100*J159</f>
        <v>0</v>
      </c>
      <c r="N159" s="4" t="str">
        <f>IF(O159="Win",M159,IF(O159="Loss",-L159,""))</f>
        <v/>
      </c>
      <c r="O159" s="4"/>
      <c r="P159" s="3"/>
      <c r="Q159" s="4">
        <f>IF(SUM(N$2:N159)="",Dashboard!B3,Dashboard!B3+SUM(N$2:N159))</f>
        <v>4972</v>
      </c>
      <c r="R159" s="3"/>
    </row>
    <row r="160" spans="1:18">
      <c r="A160" s="3"/>
      <c r="B160" s="3"/>
      <c r="C160" s="3"/>
      <c r="D160" s="3"/>
      <c r="E160" s="3"/>
      <c r="F160" s="3"/>
      <c r="G160" s="3"/>
      <c r="H160" s="3"/>
      <c r="I160" s="4"/>
      <c r="J160" s="4"/>
      <c r="K160" s="4"/>
      <c r="L160" s="4">
        <f>K160*100*I160</f>
        <v>0</v>
      </c>
      <c r="M160" s="4">
        <f>K160*100*J160</f>
        <v>0</v>
      </c>
      <c r="N160" s="4" t="str">
        <f>IF(O160="Win",M160,IF(O160="Loss",-L160,""))</f>
        <v/>
      </c>
      <c r="O160" s="4"/>
      <c r="P160" s="3"/>
      <c r="Q160" s="4">
        <f>IF(SUM(N$2:N160)="",Dashboard!B3,Dashboard!B3+SUM(N$2:N160))</f>
        <v>4972</v>
      </c>
      <c r="R160" s="3"/>
    </row>
    <row r="161" spans="1:18">
      <c r="A161" s="3"/>
      <c r="B161" s="3"/>
      <c r="C161" s="3"/>
      <c r="D161" s="3"/>
      <c r="E161" s="3"/>
      <c r="F161" s="3"/>
      <c r="G161" s="3"/>
      <c r="H161" s="3"/>
      <c r="I161" s="4"/>
      <c r="J161" s="4"/>
      <c r="K161" s="4"/>
      <c r="L161" s="4">
        <f>K161*100*I161</f>
        <v>0</v>
      </c>
      <c r="M161" s="4">
        <f>K161*100*J161</f>
        <v>0</v>
      </c>
      <c r="N161" s="4" t="str">
        <f>IF(O161="Win",M161,IF(O161="Loss",-L161,""))</f>
        <v/>
      </c>
      <c r="O161" s="4"/>
      <c r="P161" s="3"/>
      <c r="Q161" s="4">
        <f>IF(SUM(N$2:N161)="",Dashboard!B3,Dashboard!B3+SUM(N$2:N161))</f>
        <v>4972</v>
      </c>
      <c r="R161" s="3"/>
    </row>
    <row r="162" spans="1:18">
      <c r="A162" s="3"/>
      <c r="B162" s="3"/>
      <c r="C162" s="3"/>
      <c r="D162" s="3"/>
      <c r="E162" s="3"/>
      <c r="F162" s="3"/>
      <c r="G162" s="3"/>
      <c r="H162" s="3"/>
      <c r="I162" s="4"/>
      <c r="J162" s="4"/>
      <c r="K162" s="4"/>
      <c r="L162" s="4">
        <f>K162*100*I162</f>
        <v>0</v>
      </c>
      <c r="M162" s="4">
        <f>K162*100*J162</f>
        <v>0</v>
      </c>
      <c r="N162" s="4" t="str">
        <f>IF(O162="Win",M162,IF(O162="Loss",-L162,""))</f>
        <v/>
      </c>
      <c r="O162" s="4"/>
      <c r="P162" s="3"/>
      <c r="Q162" s="4">
        <f>IF(SUM(N$2:N162)="",Dashboard!B3,Dashboard!B3+SUM(N$2:N162))</f>
        <v>4972</v>
      </c>
      <c r="R162" s="3"/>
    </row>
    <row r="163" spans="1:18">
      <c r="A163" s="3"/>
      <c r="B163" s="3"/>
      <c r="C163" s="3"/>
      <c r="D163" s="3"/>
      <c r="E163" s="3"/>
      <c r="F163" s="3"/>
      <c r="G163" s="3"/>
      <c r="H163" s="3"/>
      <c r="I163" s="4"/>
      <c r="J163" s="4"/>
      <c r="K163" s="4"/>
      <c r="L163" s="4">
        <f>K163*100*I163</f>
        <v>0</v>
      </c>
      <c r="M163" s="4">
        <f>K163*100*J163</f>
        <v>0</v>
      </c>
      <c r="N163" s="4" t="str">
        <f>IF(O163="Win",M163,IF(O163="Loss",-L163,""))</f>
        <v/>
      </c>
      <c r="O163" s="4"/>
      <c r="P163" s="3"/>
      <c r="Q163" s="4">
        <f>IF(SUM(N$2:N163)="",Dashboard!B3,Dashboard!B3+SUM(N$2:N163))</f>
        <v>4972</v>
      </c>
      <c r="R163" s="3"/>
    </row>
    <row r="164" spans="1:18">
      <c r="A164" s="3"/>
      <c r="B164" s="3"/>
      <c r="C164" s="3"/>
      <c r="D164" s="3"/>
      <c r="E164" s="3"/>
      <c r="F164" s="3"/>
      <c r="G164" s="3"/>
      <c r="H164" s="3"/>
      <c r="I164" s="4"/>
      <c r="J164" s="4"/>
      <c r="K164" s="4"/>
      <c r="L164" s="4">
        <f>K164*100*I164</f>
        <v>0</v>
      </c>
      <c r="M164" s="4">
        <f>K164*100*J164</f>
        <v>0</v>
      </c>
      <c r="N164" s="4" t="str">
        <f>IF(O164="Win",M164,IF(O164="Loss",-L164,""))</f>
        <v/>
      </c>
      <c r="O164" s="4"/>
      <c r="P164" s="3"/>
      <c r="Q164" s="4">
        <f>IF(SUM(N$2:N164)="",Dashboard!B3,Dashboard!B3+SUM(N$2:N164))</f>
        <v>4972</v>
      </c>
      <c r="R164" s="3"/>
    </row>
    <row r="165" spans="1:18">
      <c r="A165" s="3"/>
      <c r="B165" s="3"/>
      <c r="C165" s="3"/>
      <c r="D165" s="3"/>
      <c r="E165" s="3"/>
      <c r="F165" s="3"/>
      <c r="G165" s="3"/>
      <c r="H165" s="3"/>
      <c r="I165" s="4"/>
      <c r="J165" s="4"/>
      <c r="K165" s="4"/>
      <c r="L165" s="4">
        <f>K165*100*I165</f>
        <v>0</v>
      </c>
      <c r="M165" s="4">
        <f>K165*100*J165</f>
        <v>0</v>
      </c>
      <c r="N165" s="4" t="str">
        <f>IF(O165="Win",M165,IF(O165="Loss",-L165,""))</f>
        <v/>
      </c>
      <c r="O165" s="4"/>
      <c r="P165" s="3"/>
      <c r="Q165" s="4">
        <f>IF(SUM(N$2:N165)="",Dashboard!B3,Dashboard!B3+SUM(N$2:N165))</f>
        <v>4972</v>
      </c>
      <c r="R165" s="3"/>
    </row>
    <row r="166" spans="1:18">
      <c r="A166" s="3"/>
      <c r="B166" s="3"/>
      <c r="C166" s="3"/>
      <c r="D166" s="3"/>
      <c r="E166" s="3"/>
      <c r="F166" s="3"/>
      <c r="G166" s="3"/>
      <c r="H166" s="3"/>
      <c r="I166" s="4"/>
      <c r="J166" s="4"/>
      <c r="K166" s="4"/>
      <c r="L166" s="4">
        <f>K166*100*I166</f>
        <v>0</v>
      </c>
      <c r="M166" s="4">
        <f>K166*100*J166</f>
        <v>0</v>
      </c>
      <c r="N166" s="4" t="str">
        <f>IF(O166="Win",M166,IF(O166="Loss",-L166,""))</f>
        <v/>
      </c>
      <c r="O166" s="4"/>
      <c r="P166" s="3"/>
      <c r="Q166" s="4">
        <f>IF(SUM(N$2:N166)="",Dashboard!B3,Dashboard!B3+SUM(N$2:N166))</f>
        <v>4972</v>
      </c>
      <c r="R166" s="3"/>
    </row>
    <row r="167" spans="1:18">
      <c r="A167" s="3"/>
      <c r="B167" s="3"/>
      <c r="C167" s="3"/>
      <c r="D167" s="3"/>
      <c r="E167" s="3"/>
      <c r="F167" s="3"/>
      <c r="G167" s="3"/>
      <c r="H167" s="3"/>
      <c r="I167" s="4"/>
      <c r="J167" s="4"/>
      <c r="K167" s="4"/>
      <c r="L167" s="4">
        <f>K167*100*I167</f>
        <v>0</v>
      </c>
      <c r="M167" s="4">
        <f>K167*100*J167</f>
        <v>0</v>
      </c>
      <c r="N167" s="4" t="str">
        <f>IF(O167="Win",M167,IF(O167="Loss",-L167,""))</f>
        <v/>
      </c>
      <c r="O167" s="4"/>
      <c r="P167" s="3"/>
      <c r="Q167" s="4">
        <f>IF(SUM(N$2:N167)="",Dashboard!B3,Dashboard!B3+SUM(N$2:N167))</f>
        <v>4972</v>
      </c>
      <c r="R167" s="3"/>
    </row>
    <row r="168" spans="1:18">
      <c r="A168" s="3"/>
      <c r="B168" s="3"/>
      <c r="C168" s="3"/>
      <c r="D168" s="3"/>
      <c r="E168" s="3"/>
      <c r="F168" s="3"/>
      <c r="G168" s="3"/>
      <c r="H168" s="3"/>
      <c r="I168" s="4"/>
      <c r="J168" s="4"/>
      <c r="K168" s="4"/>
      <c r="L168" s="4">
        <f>K168*100*I168</f>
        <v>0</v>
      </c>
      <c r="M168" s="4">
        <f>K168*100*J168</f>
        <v>0</v>
      </c>
      <c r="N168" s="4" t="str">
        <f>IF(O168="Win",M168,IF(O168="Loss",-L168,""))</f>
        <v/>
      </c>
      <c r="O168" s="4"/>
      <c r="P168" s="3"/>
      <c r="Q168" s="4">
        <f>IF(SUM(N$2:N168)="",Dashboard!B3,Dashboard!B3+SUM(N$2:N168))</f>
        <v>4972</v>
      </c>
      <c r="R168" s="3"/>
    </row>
    <row r="169" spans="1:18">
      <c r="A169" s="3"/>
      <c r="B169" s="3"/>
      <c r="C169" s="3"/>
      <c r="D169" s="3"/>
      <c r="E169" s="3"/>
      <c r="F169" s="3"/>
      <c r="G169" s="3"/>
      <c r="H169" s="3"/>
      <c r="I169" s="4"/>
      <c r="J169" s="4"/>
      <c r="K169" s="4"/>
      <c r="L169" s="4">
        <f>K169*100*I169</f>
        <v>0</v>
      </c>
      <c r="M169" s="4">
        <f>K169*100*J169</f>
        <v>0</v>
      </c>
      <c r="N169" s="4" t="str">
        <f>IF(O169="Win",M169,IF(O169="Loss",-L169,""))</f>
        <v/>
      </c>
      <c r="O169" s="4"/>
      <c r="P169" s="3"/>
      <c r="Q169" s="4">
        <f>IF(SUM(N$2:N169)="",Dashboard!B3,Dashboard!B3+SUM(N$2:N169))</f>
        <v>4972</v>
      </c>
      <c r="R169" s="3"/>
    </row>
    <row r="170" spans="1:18">
      <c r="A170" s="3"/>
      <c r="B170" s="3"/>
      <c r="C170" s="3"/>
      <c r="D170" s="3"/>
      <c r="E170" s="3"/>
      <c r="F170" s="3"/>
      <c r="G170" s="3"/>
      <c r="H170" s="3"/>
      <c r="I170" s="4"/>
      <c r="J170" s="4"/>
      <c r="K170" s="4"/>
      <c r="L170" s="4">
        <f>K170*100*I170</f>
        <v>0</v>
      </c>
      <c r="M170" s="4">
        <f>K170*100*J170</f>
        <v>0</v>
      </c>
      <c r="N170" s="4" t="str">
        <f>IF(O170="Win",M170,IF(O170="Loss",-L170,""))</f>
        <v/>
      </c>
      <c r="O170" s="4"/>
      <c r="P170" s="3"/>
      <c r="Q170" s="4">
        <f>IF(SUM(N$2:N170)="",Dashboard!B3,Dashboard!B3+SUM(N$2:N170))</f>
        <v>4972</v>
      </c>
      <c r="R170" s="3"/>
    </row>
    <row r="171" spans="1:18">
      <c r="A171" s="3"/>
      <c r="B171" s="3"/>
      <c r="C171" s="3"/>
      <c r="D171" s="3"/>
      <c r="E171" s="3"/>
      <c r="F171" s="3"/>
      <c r="G171" s="3"/>
      <c r="H171" s="3"/>
      <c r="I171" s="4"/>
      <c r="J171" s="4"/>
      <c r="K171" s="4"/>
      <c r="L171" s="4">
        <f>K171*100*I171</f>
        <v>0</v>
      </c>
      <c r="M171" s="4">
        <f>K171*100*J171</f>
        <v>0</v>
      </c>
      <c r="N171" s="4" t="str">
        <f>IF(O171="Win",M171,IF(O171="Loss",-L171,""))</f>
        <v/>
      </c>
      <c r="O171" s="4"/>
      <c r="P171" s="3"/>
      <c r="Q171" s="4">
        <f>IF(SUM(N$2:N171)="",Dashboard!B3,Dashboard!B3+SUM(N$2:N171))</f>
        <v>4972</v>
      </c>
      <c r="R171" s="3"/>
    </row>
    <row r="172" spans="1:18">
      <c r="A172" s="3"/>
      <c r="B172" s="3"/>
      <c r="C172" s="3"/>
      <c r="D172" s="3"/>
      <c r="E172" s="3"/>
      <c r="F172" s="3"/>
      <c r="G172" s="3"/>
      <c r="H172" s="3"/>
      <c r="I172" s="4"/>
      <c r="J172" s="4"/>
      <c r="K172" s="4"/>
      <c r="L172" s="4">
        <f>K172*100*I172</f>
        <v>0</v>
      </c>
      <c r="M172" s="4">
        <f>K172*100*J172</f>
        <v>0</v>
      </c>
      <c r="N172" s="4" t="str">
        <f>IF(O172="Win",M172,IF(O172="Loss",-L172,""))</f>
        <v/>
      </c>
      <c r="O172" s="4"/>
      <c r="P172" s="3"/>
      <c r="Q172" s="4">
        <f>IF(SUM(N$2:N172)="",Dashboard!B3,Dashboard!B3+SUM(N$2:N172))</f>
        <v>4972</v>
      </c>
      <c r="R172" s="3"/>
    </row>
    <row r="173" spans="1:18">
      <c r="A173" s="3"/>
      <c r="B173" s="3"/>
      <c r="C173" s="3"/>
      <c r="D173" s="3"/>
      <c r="E173" s="3"/>
      <c r="F173" s="3"/>
      <c r="G173" s="3"/>
      <c r="H173" s="3"/>
      <c r="I173" s="4"/>
      <c r="J173" s="4"/>
      <c r="K173" s="4"/>
      <c r="L173" s="4">
        <f>K173*100*I173</f>
        <v>0</v>
      </c>
      <c r="M173" s="4">
        <f>K173*100*J173</f>
        <v>0</v>
      </c>
      <c r="N173" s="4" t="str">
        <f>IF(O173="Win",M173,IF(O173="Loss",-L173,""))</f>
        <v/>
      </c>
      <c r="O173" s="4"/>
      <c r="P173" s="3"/>
      <c r="Q173" s="4">
        <f>IF(SUM(N$2:N173)="",Dashboard!B3,Dashboard!B3+SUM(N$2:N173))</f>
        <v>4972</v>
      </c>
      <c r="R173" s="3"/>
    </row>
    <row r="174" spans="1:18">
      <c r="A174" s="3"/>
      <c r="B174" s="3"/>
      <c r="C174" s="3"/>
      <c r="D174" s="3"/>
      <c r="E174" s="3"/>
      <c r="F174" s="3"/>
      <c r="G174" s="3"/>
      <c r="H174" s="3"/>
      <c r="I174" s="4"/>
      <c r="J174" s="4"/>
      <c r="K174" s="4"/>
      <c r="L174" s="4">
        <f>K174*100*I174</f>
        <v>0</v>
      </c>
      <c r="M174" s="4">
        <f>K174*100*J174</f>
        <v>0</v>
      </c>
      <c r="N174" s="4" t="str">
        <f>IF(O174="Win",M174,IF(O174="Loss",-L174,""))</f>
        <v/>
      </c>
      <c r="O174" s="4"/>
      <c r="P174" s="3"/>
      <c r="Q174" s="4">
        <f>IF(SUM(N$2:N174)="",Dashboard!B3,Dashboard!B3+SUM(N$2:N174))</f>
        <v>4972</v>
      </c>
      <c r="R174" s="3"/>
    </row>
    <row r="175" spans="1:18">
      <c r="A175" s="3"/>
      <c r="B175" s="3"/>
      <c r="C175" s="3"/>
      <c r="D175" s="3"/>
      <c r="E175" s="3"/>
      <c r="F175" s="3"/>
      <c r="G175" s="3"/>
      <c r="H175" s="3"/>
      <c r="I175" s="4"/>
      <c r="J175" s="4"/>
      <c r="K175" s="4"/>
      <c r="L175" s="4">
        <f>K175*100*I175</f>
        <v>0</v>
      </c>
      <c r="M175" s="4">
        <f>K175*100*J175</f>
        <v>0</v>
      </c>
      <c r="N175" s="4" t="str">
        <f>IF(O175="Win",M175,IF(O175="Loss",-L175,""))</f>
        <v/>
      </c>
      <c r="O175" s="4"/>
      <c r="P175" s="3"/>
      <c r="Q175" s="4">
        <f>IF(SUM(N$2:N175)="",Dashboard!B3,Dashboard!B3+SUM(N$2:N175))</f>
        <v>4972</v>
      </c>
      <c r="R175" s="3"/>
    </row>
    <row r="176" spans="1:18">
      <c r="A176" s="3"/>
      <c r="B176" s="3"/>
      <c r="C176" s="3"/>
      <c r="D176" s="3"/>
      <c r="E176" s="3"/>
      <c r="F176" s="3"/>
      <c r="G176" s="3"/>
      <c r="H176" s="3"/>
      <c r="I176" s="4"/>
      <c r="J176" s="4"/>
      <c r="K176" s="4"/>
      <c r="L176" s="4">
        <f>K176*100*I176</f>
        <v>0</v>
      </c>
      <c r="M176" s="4">
        <f>K176*100*J176</f>
        <v>0</v>
      </c>
      <c r="N176" s="4" t="str">
        <f>IF(O176="Win",M176,IF(O176="Loss",-L176,""))</f>
        <v/>
      </c>
      <c r="O176" s="4"/>
      <c r="P176" s="3"/>
      <c r="Q176" s="4">
        <f>IF(SUM(N$2:N176)="",Dashboard!B3,Dashboard!B3+SUM(N$2:N176))</f>
        <v>4972</v>
      </c>
      <c r="R176" s="3"/>
    </row>
    <row r="177" spans="1:18">
      <c r="A177" s="3"/>
      <c r="B177" s="3"/>
      <c r="C177" s="3"/>
      <c r="D177" s="3"/>
      <c r="E177" s="3"/>
      <c r="F177" s="3"/>
      <c r="G177" s="3"/>
      <c r="H177" s="3"/>
      <c r="I177" s="4"/>
      <c r="J177" s="4"/>
      <c r="K177" s="4"/>
      <c r="L177" s="4">
        <f>K177*100*I177</f>
        <v>0</v>
      </c>
      <c r="M177" s="4">
        <f>K177*100*J177</f>
        <v>0</v>
      </c>
      <c r="N177" s="4" t="str">
        <f>IF(O177="Win",M177,IF(O177="Loss",-L177,""))</f>
        <v/>
      </c>
      <c r="O177" s="4"/>
      <c r="P177" s="3"/>
      <c r="Q177" s="4">
        <f>IF(SUM(N$2:N177)="",Dashboard!B3,Dashboard!B3+SUM(N$2:N177))</f>
        <v>4972</v>
      </c>
      <c r="R177" s="3"/>
    </row>
    <row r="178" spans="1:18">
      <c r="A178" s="3"/>
      <c r="B178" s="3"/>
      <c r="C178" s="3"/>
      <c r="D178" s="3"/>
      <c r="E178" s="3"/>
      <c r="F178" s="3"/>
      <c r="G178" s="3"/>
      <c r="H178" s="3"/>
      <c r="I178" s="4"/>
      <c r="J178" s="4"/>
      <c r="K178" s="4"/>
      <c r="L178" s="4">
        <f>K178*100*I178</f>
        <v>0</v>
      </c>
      <c r="M178" s="4">
        <f>K178*100*J178</f>
        <v>0</v>
      </c>
      <c r="N178" s="4" t="str">
        <f>IF(O178="Win",M178,IF(O178="Loss",-L178,""))</f>
        <v/>
      </c>
      <c r="O178" s="4"/>
      <c r="P178" s="3"/>
      <c r="Q178" s="4">
        <f>IF(SUM(N$2:N178)="",Dashboard!B3,Dashboard!B3+SUM(N$2:N178))</f>
        <v>4972</v>
      </c>
      <c r="R178" s="3"/>
    </row>
    <row r="179" spans="1:18">
      <c r="A179" s="3"/>
      <c r="B179" s="3"/>
      <c r="C179" s="3"/>
      <c r="D179" s="3"/>
      <c r="E179" s="3"/>
      <c r="F179" s="3"/>
      <c r="G179" s="3"/>
      <c r="H179" s="3"/>
      <c r="I179" s="4"/>
      <c r="J179" s="4"/>
      <c r="K179" s="4"/>
      <c r="L179" s="4">
        <f>K179*100*I179</f>
        <v>0</v>
      </c>
      <c r="M179" s="4">
        <f>K179*100*J179</f>
        <v>0</v>
      </c>
      <c r="N179" s="4" t="str">
        <f>IF(O179="Win",M179,IF(O179="Loss",-L179,""))</f>
        <v/>
      </c>
      <c r="O179" s="4"/>
      <c r="P179" s="3"/>
      <c r="Q179" s="4">
        <f>IF(SUM(N$2:N179)="",Dashboard!B3,Dashboard!B3+SUM(N$2:N179))</f>
        <v>4972</v>
      </c>
      <c r="R179" s="3"/>
    </row>
    <row r="180" spans="1:18">
      <c r="A180" s="3"/>
      <c r="B180" s="3"/>
      <c r="C180" s="3"/>
      <c r="D180" s="3"/>
      <c r="E180" s="3"/>
      <c r="F180" s="3"/>
      <c r="G180" s="3"/>
      <c r="H180" s="3"/>
      <c r="I180" s="4"/>
      <c r="J180" s="4"/>
      <c r="K180" s="4"/>
      <c r="L180" s="4">
        <f>K180*100*I180</f>
        <v>0</v>
      </c>
      <c r="M180" s="4">
        <f>K180*100*J180</f>
        <v>0</v>
      </c>
      <c r="N180" s="4" t="str">
        <f>IF(O180="Win",M180,IF(O180="Loss",-L180,""))</f>
        <v/>
      </c>
      <c r="O180" s="4"/>
      <c r="P180" s="3"/>
      <c r="Q180" s="4">
        <f>IF(SUM(N$2:N180)="",Dashboard!B3,Dashboard!B3+SUM(N$2:N180))</f>
        <v>4972</v>
      </c>
      <c r="R180" s="3"/>
    </row>
    <row r="181" spans="1:18">
      <c r="A181" s="3"/>
      <c r="B181" s="3"/>
      <c r="C181" s="3"/>
      <c r="D181" s="3"/>
      <c r="E181" s="3"/>
      <c r="F181" s="3"/>
      <c r="G181" s="3"/>
      <c r="H181" s="3"/>
      <c r="I181" s="4"/>
      <c r="J181" s="4"/>
      <c r="K181" s="4"/>
      <c r="L181" s="4">
        <f>K181*100*I181</f>
        <v>0</v>
      </c>
      <c r="M181" s="4">
        <f>K181*100*J181</f>
        <v>0</v>
      </c>
      <c r="N181" s="4" t="str">
        <f>IF(O181="Win",M181,IF(O181="Loss",-L181,""))</f>
        <v/>
      </c>
      <c r="O181" s="4"/>
      <c r="P181" s="3"/>
      <c r="Q181" s="4">
        <f>IF(SUM(N$2:N181)="",Dashboard!B3,Dashboard!B3+SUM(N$2:N181))</f>
        <v>4972</v>
      </c>
      <c r="R181" s="3"/>
    </row>
    <row r="182" spans="1:18">
      <c r="A182" s="3"/>
      <c r="B182" s="3"/>
      <c r="C182" s="3"/>
      <c r="D182" s="3"/>
      <c r="E182" s="3"/>
      <c r="F182" s="3"/>
      <c r="G182" s="3"/>
      <c r="H182" s="3"/>
      <c r="I182" s="4"/>
      <c r="J182" s="4"/>
      <c r="K182" s="4"/>
      <c r="L182" s="4">
        <f>K182*100*I182</f>
        <v>0</v>
      </c>
      <c r="M182" s="4">
        <f>K182*100*J182</f>
        <v>0</v>
      </c>
      <c r="N182" s="4" t="str">
        <f>IF(O182="Win",M182,IF(O182="Loss",-L182,""))</f>
        <v/>
      </c>
      <c r="O182" s="4"/>
      <c r="P182" s="3"/>
      <c r="Q182" s="4">
        <f>IF(SUM(N$2:N182)="",Dashboard!B3,Dashboard!B3+SUM(N$2:N182))</f>
        <v>4972</v>
      </c>
      <c r="R182" s="3"/>
    </row>
    <row r="183" spans="1:18">
      <c r="A183" s="3"/>
      <c r="B183" s="3"/>
      <c r="C183" s="3"/>
      <c r="D183" s="3"/>
      <c r="E183" s="3"/>
      <c r="F183" s="3"/>
      <c r="G183" s="3"/>
      <c r="H183" s="3"/>
      <c r="I183" s="4"/>
      <c r="J183" s="4"/>
      <c r="K183" s="4"/>
      <c r="L183" s="4">
        <f>K183*100*I183</f>
        <v>0</v>
      </c>
      <c r="M183" s="4">
        <f>K183*100*J183</f>
        <v>0</v>
      </c>
      <c r="N183" s="4" t="str">
        <f>IF(O183="Win",M183,IF(O183="Loss",-L183,""))</f>
        <v/>
      </c>
      <c r="O183" s="4"/>
      <c r="P183" s="3"/>
      <c r="Q183" s="4">
        <f>IF(SUM(N$2:N183)="",Dashboard!B3,Dashboard!B3+SUM(N$2:N183))</f>
        <v>4972</v>
      </c>
      <c r="R183" s="3"/>
    </row>
    <row r="184" spans="1:18">
      <c r="A184" s="3"/>
      <c r="B184" s="3"/>
      <c r="C184" s="3"/>
      <c r="D184" s="3"/>
      <c r="E184" s="3"/>
      <c r="F184" s="3"/>
      <c r="G184" s="3"/>
      <c r="H184" s="3"/>
      <c r="I184" s="4"/>
      <c r="J184" s="4"/>
      <c r="K184" s="4"/>
      <c r="L184" s="4">
        <f>K184*100*I184</f>
        <v>0</v>
      </c>
      <c r="M184" s="4">
        <f>K184*100*J184</f>
        <v>0</v>
      </c>
      <c r="N184" s="4" t="str">
        <f>IF(O184="Win",M184,IF(O184="Loss",-L184,""))</f>
        <v/>
      </c>
      <c r="O184" s="4"/>
      <c r="P184" s="3"/>
      <c r="Q184" s="4">
        <f>IF(SUM(N$2:N184)="",Dashboard!B3,Dashboard!B3+SUM(N$2:N184))</f>
        <v>4972</v>
      </c>
      <c r="R184" s="3"/>
    </row>
    <row r="185" spans="1:18">
      <c r="A185" s="3"/>
      <c r="B185" s="3"/>
      <c r="C185" s="3"/>
      <c r="D185" s="3"/>
      <c r="E185" s="3"/>
      <c r="F185" s="3"/>
      <c r="G185" s="3"/>
      <c r="H185" s="3"/>
      <c r="I185" s="4"/>
      <c r="J185" s="4"/>
      <c r="K185" s="4"/>
      <c r="L185" s="4">
        <f>K185*100*I185</f>
        <v>0</v>
      </c>
      <c r="M185" s="4">
        <f>K185*100*J185</f>
        <v>0</v>
      </c>
      <c r="N185" s="4" t="str">
        <f>IF(O185="Win",M185,IF(O185="Loss",-L185,""))</f>
        <v/>
      </c>
      <c r="O185" s="4"/>
      <c r="P185" s="3"/>
      <c r="Q185" s="4">
        <f>IF(SUM(N$2:N185)="",Dashboard!B3,Dashboard!B3+SUM(N$2:N185))</f>
        <v>4972</v>
      </c>
      <c r="R185" s="3"/>
    </row>
    <row r="186" spans="1:18">
      <c r="A186" s="3"/>
      <c r="B186" s="3"/>
      <c r="C186" s="3"/>
      <c r="D186" s="3"/>
      <c r="E186" s="3"/>
      <c r="F186" s="3"/>
      <c r="G186" s="3"/>
      <c r="H186" s="3"/>
      <c r="I186" s="4"/>
      <c r="J186" s="4"/>
      <c r="K186" s="4"/>
      <c r="L186" s="4">
        <f>K186*100*I186</f>
        <v>0</v>
      </c>
      <c r="M186" s="4">
        <f>K186*100*J186</f>
        <v>0</v>
      </c>
      <c r="N186" s="4" t="str">
        <f>IF(O186="Win",M186,IF(O186="Loss",-L186,""))</f>
        <v/>
      </c>
      <c r="O186" s="4"/>
      <c r="P186" s="3"/>
      <c r="Q186" s="4">
        <f>IF(SUM(N$2:N186)="",Dashboard!B3,Dashboard!B3+SUM(N$2:N186))</f>
        <v>4972</v>
      </c>
      <c r="R186" s="3"/>
    </row>
    <row r="187" spans="1:18">
      <c r="A187" s="3"/>
      <c r="B187" s="3"/>
      <c r="C187" s="3"/>
      <c r="D187" s="3"/>
      <c r="E187" s="3"/>
      <c r="F187" s="3"/>
      <c r="G187" s="3"/>
      <c r="H187" s="3"/>
      <c r="I187" s="4"/>
      <c r="J187" s="4"/>
      <c r="K187" s="4"/>
      <c r="L187" s="4">
        <f>K187*100*I187</f>
        <v>0</v>
      </c>
      <c r="M187" s="4">
        <f>K187*100*J187</f>
        <v>0</v>
      </c>
      <c r="N187" s="4" t="str">
        <f>IF(O187="Win",M187,IF(O187="Loss",-L187,""))</f>
        <v/>
      </c>
      <c r="O187" s="4"/>
      <c r="P187" s="3"/>
      <c r="Q187" s="4">
        <f>IF(SUM(N$2:N187)="",Dashboard!B3,Dashboard!B3+SUM(N$2:N187))</f>
        <v>4972</v>
      </c>
      <c r="R187" s="3"/>
    </row>
    <row r="188" spans="1:18">
      <c r="A188" s="3"/>
      <c r="B188" s="3"/>
      <c r="C188" s="3"/>
      <c r="D188" s="3"/>
      <c r="E188" s="3"/>
      <c r="F188" s="3"/>
      <c r="G188" s="3"/>
      <c r="H188" s="3"/>
      <c r="I188" s="4"/>
      <c r="J188" s="4"/>
      <c r="K188" s="4"/>
      <c r="L188" s="4">
        <f>K188*100*I188</f>
        <v>0</v>
      </c>
      <c r="M188" s="4">
        <f>K188*100*J188</f>
        <v>0</v>
      </c>
      <c r="N188" s="4" t="str">
        <f>IF(O188="Win",M188,IF(O188="Loss",-L188,""))</f>
        <v/>
      </c>
      <c r="O188" s="4"/>
      <c r="P188" s="3"/>
      <c r="Q188" s="4">
        <f>IF(SUM(N$2:N188)="",Dashboard!B3,Dashboard!B3+SUM(N$2:N188))</f>
        <v>4972</v>
      </c>
      <c r="R188" s="3"/>
    </row>
    <row r="189" spans="1:18">
      <c r="A189" s="3"/>
      <c r="B189" s="3"/>
      <c r="C189" s="3"/>
      <c r="D189" s="3"/>
      <c r="E189" s="3"/>
      <c r="F189" s="3"/>
      <c r="G189" s="3"/>
      <c r="H189" s="3"/>
      <c r="I189" s="4"/>
      <c r="J189" s="4"/>
      <c r="K189" s="4"/>
      <c r="L189" s="4">
        <f>K189*100*I189</f>
        <v>0</v>
      </c>
      <c r="M189" s="4">
        <f>K189*100*J189</f>
        <v>0</v>
      </c>
      <c r="N189" s="4" t="str">
        <f>IF(O189="Win",M189,IF(O189="Loss",-L189,""))</f>
        <v/>
      </c>
      <c r="O189" s="4"/>
      <c r="P189" s="3"/>
      <c r="Q189" s="4">
        <f>IF(SUM(N$2:N189)="",Dashboard!B3,Dashboard!B3+SUM(N$2:N189))</f>
        <v>4972</v>
      </c>
      <c r="R189" s="3"/>
    </row>
    <row r="190" spans="1:18">
      <c r="A190" s="3"/>
      <c r="B190" s="3"/>
      <c r="C190" s="3"/>
      <c r="D190" s="3"/>
      <c r="E190" s="3"/>
      <c r="F190" s="3"/>
      <c r="G190" s="3"/>
      <c r="H190" s="3"/>
      <c r="I190" s="4"/>
      <c r="J190" s="4"/>
      <c r="K190" s="4"/>
      <c r="L190" s="4">
        <f>K190*100*I190</f>
        <v>0</v>
      </c>
      <c r="M190" s="4">
        <f>K190*100*J190</f>
        <v>0</v>
      </c>
      <c r="N190" s="4" t="str">
        <f>IF(O190="Win",M190,IF(O190="Loss",-L190,""))</f>
        <v/>
      </c>
      <c r="O190" s="4"/>
      <c r="P190" s="3"/>
      <c r="Q190" s="4">
        <f>IF(SUM(N$2:N190)="",Dashboard!B3,Dashboard!B3+SUM(N$2:N190))</f>
        <v>4972</v>
      </c>
      <c r="R190" s="3"/>
    </row>
    <row r="191" spans="1:18">
      <c r="A191" s="3"/>
      <c r="B191" s="3"/>
      <c r="C191" s="3"/>
      <c r="D191" s="3"/>
      <c r="E191" s="3"/>
      <c r="F191" s="3"/>
      <c r="G191" s="3"/>
      <c r="H191" s="3"/>
      <c r="I191" s="4"/>
      <c r="J191" s="4"/>
      <c r="K191" s="4"/>
      <c r="L191" s="4">
        <f>K191*100*I191</f>
        <v>0</v>
      </c>
      <c r="M191" s="4">
        <f>K191*100*J191</f>
        <v>0</v>
      </c>
      <c r="N191" s="4" t="str">
        <f>IF(O191="Win",M191,IF(O191="Loss",-L191,""))</f>
        <v/>
      </c>
      <c r="O191" s="4"/>
      <c r="P191" s="3"/>
      <c r="Q191" s="4">
        <f>IF(SUM(N$2:N191)="",Dashboard!B3,Dashboard!B3+SUM(N$2:N191))</f>
        <v>4972</v>
      </c>
      <c r="R191" s="3"/>
    </row>
    <row r="192" spans="1:18">
      <c r="A192" s="3"/>
      <c r="B192" s="3"/>
      <c r="C192" s="3"/>
      <c r="D192" s="3"/>
      <c r="E192" s="3"/>
      <c r="F192" s="3"/>
      <c r="G192" s="3"/>
      <c r="H192" s="3"/>
      <c r="I192" s="4"/>
      <c r="J192" s="4"/>
      <c r="K192" s="4"/>
      <c r="L192" s="4">
        <f>K192*100*I192</f>
        <v>0</v>
      </c>
      <c r="M192" s="4">
        <f>K192*100*J192</f>
        <v>0</v>
      </c>
      <c r="N192" s="4" t="str">
        <f>IF(O192="Win",M192,IF(O192="Loss",-L192,""))</f>
        <v/>
      </c>
      <c r="O192" s="4"/>
      <c r="P192" s="3"/>
      <c r="Q192" s="4">
        <f>IF(SUM(N$2:N192)="",Dashboard!B3,Dashboard!B3+SUM(N$2:N192))</f>
        <v>4972</v>
      </c>
      <c r="R192" s="3"/>
    </row>
    <row r="193" spans="1:18">
      <c r="A193" s="3"/>
      <c r="B193" s="3"/>
      <c r="C193" s="3"/>
      <c r="D193" s="3"/>
      <c r="E193" s="3"/>
      <c r="F193" s="3"/>
      <c r="G193" s="3"/>
      <c r="H193" s="3"/>
      <c r="I193" s="4"/>
      <c r="J193" s="4"/>
      <c r="K193" s="4"/>
      <c r="L193" s="4">
        <f>K193*100*I193</f>
        <v>0</v>
      </c>
      <c r="M193" s="4">
        <f>K193*100*J193</f>
        <v>0</v>
      </c>
      <c r="N193" s="4" t="str">
        <f>IF(O193="Win",M193,IF(O193="Loss",-L193,""))</f>
        <v/>
      </c>
      <c r="O193" s="4"/>
      <c r="P193" s="3"/>
      <c r="Q193" s="4">
        <f>IF(SUM(N$2:N193)="",Dashboard!B3,Dashboard!B3+SUM(N$2:N193))</f>
        <v>4972</v>
      </c>
      <c r="R193" s="3"/>
    </row>
    <row r="194" spans="1:18">
      <c r="A194" s="3"/>
      <c r="B194" s="3"/>
      <c r="C194" s="3"/>
      <c r="D194" s="3"/>
      <c r="E194" s="3"/>
      <c r="F194" s="3"/>
      <c r="G194" s="3"/>
      <c r="H194" s="3"/>
      <c r="I194" s="4"/>
      <c r="J194" s="4"/>
      <c r="K194" s="4"/>
      <c r="L194" s="4">
        <f>K194*100*I194</f>
        <v>0</v>
      </c>
      <c r="M194" s="4">
        <f>K194*100*J194</f>
        <v>0</v>
      </c>
      <c r="N194" s="4" t="str">
        <f>IF(O194="Win",M194,IF(O194="Loss",-L194,""))</f>
        <v/>
      </c>
      <c r="O194" s="4"/>
      <c r="P194" s="3"/>
      <c r="Q194" s="4">
        <f>IF(SUM(N$2:N194)="",Dashboard!B3,Dashboard!B3+SUM(N$2:N194))</f>
        <v>4972</v>
      </c>
      <c r="R194" s="3"/>
    </row>
    <row r="195" spans="1:18">
      <c r="A195" s="3"/>
      <c r="B195" s="3"/>
      <c r="C195" s="3"/>
      <c r="D195" s="3"/>
      <c r="E195" s="3"/>
      <c r="F195" s="3"/>
      <c r="G195" s="3"/>
      <c r="H195" s="3"/>
      <c r="I195" s="4"/>
      <c r="J195" s="4"/>
      <c r="K195" s="4"/>
      <c r="L195" s="4">
        <f>K195*100*I195</f>
        <v>0</v>
      </c>
      <c r="M195" s="4">
        <f>K195*100*J195</f>
        <v>0</v>
      </c>
      <c r="N195" s="4" t="str">
        <f>IF(O195="Win",M195,IF(O195="Loss",-L195,""))</f>
        <v/>
      </c>
      <c r="O195" s="4"/>
      <c r="P195" s="3"/>
      <c r="Q195" s="4">
        <f>IF(SUM(N$2:N195)="",Dashboard!B3,Dashboard!B3+SUM(N$2:N195))</f>
        <v>4972</v>
      </c>
      <c r="R195" s="3"/>
    </row>
    <row r="196" spans="1:18">
      <c r="A196" s="3"/>
      <c r="B196" s="3"/>
      <c r="C196" s="3"/>
      <c r="D196" s="3"/>
      <c r="E196" s="3"/>
      <c r="F196" s="3"/>
      <c r="G196" s="3"/>
      <c r="H196" s="3"/>
      <c r="I196" s="4"/>
      <c r="J196" s="4"/>
      <c r="K196" s="4"/>
      <c r="L196" s="4">
        <f>K196*100*I196</f>
        <v>0</v>
      </c>
      <c r="M196" s="4">
        <f>K196*100*J196</f>
        <v>0</v>
      </c>
      <c r="N196" s="4" t="str">
        <f>IF(O196="Win",M196,IF(O196="Loss",-L196,""))</f>
        <v/>
      </c>
      <c r="O196" s="4"/>
      <c r="P196" s="3"/>
      <c r="Q196" s="4">
        <f>IF(SUM(N$2:N196)="",Dashboard!B3,Dashboard!B3+SUM(N$2:N196))</f>
        <v>4972</v>
      </c>
      <c r="R196" s="3"/>
    </row>
    <row r="197" spans="1:18">
      <c r="A197" s="3"/>
      <c r="B197" s="3"/>
      <c r="C197" s="3"/>
      <c r="D197" s="3"/>
      <c r="E197" s="3"/>
      <c r="F197" s="3"/>
      <c r="G197" s="3"/>
      <c r="H197" s="3"/>
      <c r="I197" s="4"/>
      <c r="J197" s="4"/>
      <c r="K197" s="4"/>
      <c r="L197" s="4">
        <f>K197*100*I197</f>
        <v>0</v>
      </c>
      <c r="M197" s="4">
        <f>K197*100*J197</f>
        <v>0</v>
      </c>
      <c r="N197" s="4" t="str">
        <f>IF(O197="Win",M197,IF(O197="Loss",-L197,""))</f>
        <v/>
      </c>
      <c r="O197" s="4"/>
      <c r="P197" s="3"/>
      <c r="Q197" s="4">
        <f>IF(SUM(N$2:N197)="",Dashboard!B3,Dashboard!B3+SUM(N$2:N197))</f>
        <v>4972</v>
      </c>
      <c r="R197" s="3"/>
    </row>
    <row r="198" spans="1:18">
      <c r="A198" s="3"/>
      <c r="B198" s="3"/>
      <c r="C198" s="3"/>
      <c r="D198" s="3"/>
      <c r="E198" s="3"/>
      <c r="F198" s="3"/>
      <c r="G198" s="3"/>
      <c r="H198" s="3"/>
      <c r="I198" s="4"/>
      <c r="J198" s="4"/>
      <c r="K198" s="4"/>
      <c r="L198" s="4">
        <f>K198*100*I198</f>
        <v>0</v>
      </c>
      <c r="M198" s="4">
        <f>K198*100*J198</f>
        <v>0</v>
      </c>
      <c r="N198" s="4" t="str">
        <f>IF(O198="Win",M198,IF(O198="Loss",-L198,""))</f>
        <v/>
      </c>
      <c r="O198" s="4"/>
      <c r="P198" s="3"/>
      <c r="Q198" s="4">
        <f>IF(SUM(N$2:N198)="",Dashboard!B3,Dashboard!B3+SUM(N$2:N198))</f>
        <v>4972</v>
      </c>
      <c r="R198" s="3"/>
    </row>
    <row r="199" spans="1:18">
      <c r="A199" s="3"/>
      <c r="B199" s="3"/>
      <c r="C199" s="3"/>
      <c r="D199" s="3"/>
      <c r="E199" s="3"/>
      <c r="F199" s="3"/>
      <c r="G199" s="3"/>
      <c r="H199" s="3"/>
      <c r="I199" s="4"/>
      <c r="J199" s="4"/>
      <c r="K199" s="4"/>
      <c r="L199" s="4">
        <f>K199*100*I199</f>
        <v>0</v>
      </c>
      <c r="M199" s="4">
        <f>K199*100*J199</f>
        <v>0</v>
      </c>
      <c r="N199" s="4" t="str">
        <f>IF(O199="Win",M199,IF(O199="Loss",-L199,""))</f>
        <v/>
      </c>
      <c r="O199" s="4"/>
      <c r="P199" s="3"/>
      <c r="Q199" s="4">
        <f>IF(SUM(N$2:N199)="",Dashboard!B3,Dashboard!B3+SUM(N$2:N199))</f>
        <v>4972</v>
      </c>
      <c r="R199" s="3"/>
    </row>
    <row r="200" spans="1:18">
      <c r="A200" s="3"/>
      <c r="B200" s="3"/>
      <c r="C200" s="3"/>
      <c r="D200" s="3"/>
      <c r="E200" s="3"/>
      <c r="F200" s="3"/>
      <c r="G200" s="3"/>
      <c r="H200" s="3"/>
      <c r="I200" s="4"/>
      <c r="J200" s="4"/>
      <c r="K200" s="4"/>
      <c r="L200" s="4">
        <f>K200*100*I200</f>
        <v>0</v>
      </c>
      <c r="M200" s="4">
        <f>K200*100*J200</f>
        <v>0</v>
      </c>
      <c r="N200" s="4" t="str">
        <f>IF(O200="Win",M200,IF(O200="Loss",-L200,""))</f>
        <v/>
      </c>
      <c r="O200" s="4"/>
      <c r="P200" s="3"/>
      <c r="Q200" s="4">
        <f>IF(SUM(N$2:N200)="",Dashboard!B3,Dashboard!B3+SUM(N$2:N200))</f>
        <v>4972</v>
      </c>
      <c r="R200" s="3"/>
    </row>
    <row r="201" spans="1:18">
      <c r="A201" s="3"/>
      <c r="B201" s="3"/>
      <c r="C201" s="3"/>
      <c r="D201" s="3"/>
      <c r="E201" s="3"/>
      <c r="F201" s="3"/>
      <c r="G201" s="3"/>
      <c r="H201" s="3"/>
      <c r="I201" s="4"/>
      <c r="J201" s="4"/>
      <c r="K201" s="4"/>
      <c r="L201" s="4">
        <f>K201*100*I201</f>
        <v>0</v>
      </c>
      <c r="M201" s="4">
        <f>K201*100*J201</f>
        <v>0</v>
      </c>
      <c r="N201" s="4" t="str">
        <f>IF(O201="Win",M201,IF(O201="Loss",-L201,""))</f>
        <v/>
      </c>
      <c r="O201" s="4"/>
      <c r="P201" s="3"/>
      <c r="Q201" s="4">
        <f>IF(SUM(N$2:N201)="",Dashboard!B3,Dashboard!B3+SUM(N$2:N201))</f>
        <v>4972</v>
      </c>
      <c r="R201" s="3"/>
    </row>
    <row r="202" spans="1:18">
      <c r="A202" s="3"/>
      <c r="B202" s="3"/>
      <c r="C202" s="3"/>
      <c r="D202" s="3"/>
      <c r="E202" s="3"/>
      <c r="F202" s="3"/>
      <c r="G202" s="3"/>
      <c r="H202" s="3"/>
      <c r="I202" s="4"/>
      <c r="J202" s="4"/>
      <c r="K202" s="4"/>
      <c r="L202" s="4">
        <f>K202*100*I202</f>
        <v>0</v>
      </c>
      <c r="M202" s="4">
        <f>K202*100*J202</f>
        <v>0</v>
      </c>
      <c r="N202" s="4" t="str">
        <f>IF(O202="Win",M202,IF(O202="Loss",-L202,""))</f>
        <v/>
      </c>
      <c r="O202" s="4"/>
      <c r="P202" s="3"/>
      <c r="Q202" s="4">
        <f>IF(SUM(N$2:N202)="",Dashboard!B3,Dashboard!B3+SUM(N$2:N202))</f>
        <v>4972</v>
      </c>
      <c r="R202" s="3"/>
    </row>
    <row r="203" spans="1:18">
      <c r="A203" s="3"/>
      <c r="B203" s="3"/>
      <c r="C203" s="3"/>
      <c r="D203" s="3"/>
      <c r="E203" s="3"/>
      <c r="F203" s="3"/>
      <c r="G203" s="3"/>
      <c r="H203" s="3"/>
      <c r="I203" s="4"/>
      <c r="J203" s="4"/>
      <c r="K203" s="4"/>
      <c r="L203" s="4">
        <f>K203*100*I203</f>
        <v>0</v>
      </c>
      <c r="M203" s="4">
        <f>K203*100*J203</f>
        <v>0</v>
      </c>
      <c r="N203" s="4" t="str">
        <f>IF(O203="Win",M203,IF(O203="Loss",-L203,""))</f>
        <v/>
      </c>
      <c r="O203" s="4"/>
      <c r="P203" s="3"/>
      <c r="Q203" s="4">
        <f>IF(SUM(N$2:N203)="",Dashboard!B3,Dashboard!B3+SUM(N$2:N203))</f>
        <v>4972</v>
      </c>
      <c r="R203" s="3"/>
    </row>
    <row r="204" spans="1:18">
      <c r="A204" s="3"/>
      <c r="B204" s="3"/>
      <c r="C204" s="3"/>
      <c r="D204" s="3"/>
      <c r="E204" s="3"/>
      <c r="F204" s="3"/>
      <c r="G204" s="3"/>
      <c r="H204" s="3"/>
      <c r="I204" s="4"/>
      <c r="J204" s="4"/>
      <c r="K204" s="4"/>
      <c r="L204" s="4">
        <f>K204*100*I204</f>
        <v>0</v>
      </c>
      <c r="M204" s="4">
        <f>K204*100*J204</f>
        <v>0</v>
      </c>
      <c r="N204" s="4" t="str">
        <f>IF(O204="Win",M204,IF(O204="Loss",-L204,""))</f>
        <v/>
      </c>
      <c r="O204" s="4"/>
      <c r="P204" s="3"/>
      <c r="Q204" s="4">
        <f>IF(SUM(N$2:N204)="",Dashboard!B3,Dashboard!B3+SUM(N$2:N204))</f>
        <v>4972</v>
      </c>
      <c r="R204" s="3"/>
    </row>
    <row r="205" spans="1:18">
      <c r="A205" s="3"/>
      <c r="B205" s="3"/>
      <c r="C205" s="3"/>
      <c r="D205" s="3"/>
      <c r="E205" s="3"/>
      <c r="F205" s="3"/>
      <c r="G205" s="3"/>
      <c r="H205" s="3"/>
      <c r="I205" s="4"/>
      <c r="J205" s="4"/>
      <c r="K205" s="4"/>
      <c r="L205" s="4">
        <f>K205*100*I205</f>
        <v>0</v>
      </c>
      <c r="M205" s="4">
        <f>K205*100*J205</f>
        <v>0</v>
      </c>
      <c r="N205" s="4" t="str">
        <f>IF(O205="Win",M205,IF(O205="Loss",-L205,""))</f>
        <v/>
      </c>
      <c r="O205" s="4"/>
      <c r="P205" s="3"/>
      <c r="Q205" s="4">
        <f>IF(SUM(N$2:N205)="",Dashboard!B3,Dashboard!B3+SUM(N$2:N205))</f>
        <v>4972</v>
      </c>
      <c r="R205" s="3"/>
    </row>
    <row r="206" spans="1:18">
      <c r="A206" s="3"/>
      <c r="B206" s="3"/>
      <c r="C206" s="3"/>
      <c r="D206" s="3"/>
      <c r="E206" s="3"/>
      <c r="F206" s="3"/>
      <c r="G206" s="3"/>
      <c r="H206" s="3"/>
      <c r="I206" s="4"/>
      <c r="J206" s="4"/>
      <c r="K206" s="4"/>
      <c r="L206" s="4">
        <f>K206*100*I206</f>
        <v>0</v>
      </c>
      <c r="M206" s="4">
        <f>K206*100*J206</f>
        <v>0</v>
      </c>
      <c r="N206" s="4" t="str">
        <f>IF(O206="Win",M206,IF(O206="Loss",-L206,""))</f>
        <v/>
      </c>
      <c r="O206" s="4"/>
      <c r="P206" s="3"/>
      <c r="Q206" s="4">
        <f>IF(SUM(N$2:N206)="",Dashboard!B3,Dashboard!B3+SUM(N$2:N206))</f>
        <v>4972</v>
      </c>
      <c r="R206" s="3"/>
    </row>
    <row r="207" spans="1:18">
      <c r="A207" s="3"/>
      <c r="B207" s="3"/>
      <c r="C207" s="3"/>
      <c r="D207" s="3"/>
      <c r="E207" s="3"/>
      <c r="F207" s="3"/>
      <c r="G207" s="3"/>
      <c r="H207" s="3"/>
      <c r="I207" s="4"/>
      <c r="J207" s="4"/>
      <c r="K207" s="4"/>
      <c r="L207" s="4">
        <f>K207*100*I207</f>
        <v>0</v>
      </c>
      <c r="M207" s="4">
        <f>K207*100*J207</f>
        <v>0</v>
      </c>
      <c r="N207" s="4" t="str">
        <f>IF(O207="Win",M207,IF(O207="Loss",-L207,""))</f>
        <v/>
      </c>
      <c r="O207" s="4"/>
      <c r="P207" s="3"/>
      <c r="Q207" s="4">
        <f>IF(SUM(N$2:N207)="",Dashboard!B3,Dashboard!B3+SUM(N$2:N207))</f>
        <v>4972</v>
      </c>
      <c r="R207" s="3"/>
    </row>
    <row r="208" spans="1:18">
      <c r="A208" s="3"/>
      <c r="B208" s="3"/>
      <c r="C208" s="3"/>
      <c r="D208" s="3"/>
      <c r="E208" s="3"/>
      <c r="F208" s="3"/>
      <c r="G208" s="3"/>
      <c r="H208" s="3"/>
      <c r="I208" s="4"/>
      <c r="J208" s="4"/>
      <c r="K208" s="4"/>
      <c r="L208" s="4">
        <f>K208*100*I208</f>
        <v>0</v>
      </c>
      <c r="M208" s="4">
        <f>K208*100*J208</f>
        <v>0</v>
      </c>
      <c r="N208" s="4" t="str">
        <f>IF(O208="Win",M208,IF(O208="Loss",-L208,""))</f>
        <v/>
      </c>
      <c r="O208" s="4"/>
      <c r="P208" s="3"/>
      <c r="Q208" s="4">
        <f>IF(SUM(N$2:N208)="",Dashboard!B3,Dashboard!B3+SUM(N$2:N208))</f>
        <v>4972</v>
      </c>
      <c r="R208" s="3"/>
    </row>
    <row r="209" spans="1:18">
      <c r="A209" s="3"/>
      <c r="B209" s="3"/>
      <c r="C209" s="3"/>
      <c r="D209" s="3"/>
      <c r="E209" s="3"/>
      <c r="F209" s="3"/>
      <c r="G209" s="3"/>
      <c r="H209" s="3"/>
      <c r="I209" s="4"/>
      <c r="J209" s="4"/>
      <c r="K209" s="4"/>
      <c r="L209" s="4">
        <f>K209*100*I209</f>
        <v>0</v>
      </c>
      <c r="M209" s="4">
        <f>K209*100*J209</f>
        <v>0</v>
      </c>
      <c r="N209" s="4" t="str">
        <f>IF(O209="Win",M209,IF(O209="Loss",-L209,""))</f>
        <v/>
      </c>
      <c r="O209" s="4"/>
      <c r="P209" s="3"/>
      <c r="Q209" s="4">
        <f>IF(SUM(N$2:N209)="",Dashboard!B3,Dashboard!B3+SUM(N$2:N209))</f>
        <v>4972</v>
      </c>
      <c r="R209" s="3"/>
    </row>
    <row r="210" spans="1:18">
      <c r="A210" s="3"/>
      <c r="B210" s="3"/>
      <c r="C210" s="3"/>
      <c r="D210" s="3"/>
      <c r="E210" s="3"/>
      <c r="F210" s="3"/>
      <c r="G210" s="3"/>
      <c r="H210" s="3"/>
      <c r="I210" s="4"/>
      <c r="J210" s="4"/>
      <c r="K210" s="4"/>
      <c r="L210" s="4">
        <f>K210*100*I210</f>
        <v>0</v>
      </c>
      <c r="M210" s="4">
        <f>K210*100*J210</f>
        <v>0</v>
      </c>
      <c r="N210" s="4" t="str">
        <f>IF(O210="Win",M210,IF(O210="Loss",-L210,""))</f>
        <v/>
      </c>
      <c r="O210" s="4"/>
      <c r="P210" s="3"/>
      <c r="Q210" s="4">
        <f>IF(SUM(N$2:N210)="",Dashboard!B3,Dashboard!B3+SUM(N$2:N210))</f>
        <v>4972</v>
      </c>
      <c r="R210" s="3"/>
    </row>
    <row r="211" spans="1:18">
      <c r="A211" s="3"/>
      <c r="B211" s="3"/>
      <c r="C211" s="3"/>
      <c r="D211" s="3"/>
      <c r="E211" s="3"/>
      <c r="F211" s="3"/>
      <c r="G211" s="3"/>
      <c r="H211" s="3"/>
      <c r="I211" s="4"/>
      <c r="J211" s="4"/>
      <c r="K211" s="4"/>
      <c r="L211" s="4">
        <f>K211*100*I211</f>
        <v>0</v>
      </c>
      <c r="M211" s="4">
        <f>K211*100*J211</f>
        <v>0</v>
      </c>
      <c r="N211" s="4" t="str">
        <f>IF(O211="Win",M211,IF(O211="Loss",-L211,""))</f>
        <v/>
      </c>
      <c r="O211" s="4"/>
      <c r="P211" s="3"/>
      <c r="Q211" s="4">
        <f>IF(SUM(N$2:N211)="",Dashboard!B3,Dashboard!B3+SUM(N$2:N211))</f>
        <v>4972</v>
      </c>
      <c r="R211" s="3"/>
    </row>
    <row r="212" spans="1:18">
      <c r="A212" s="3"/>
      <c r="B212" s="3"/>
      <c r="C212" s="3"/>
      <c r="D212" s="3"/>
      <c r="E212" s="3"/>
      <c r="F212" s="3"/>
      <c r="G212" s="3"/>
      <c r="H212" s="3"/>
      <c r="I212" s="4"/>
      <c r="J212" s="4"/>
      <c r="K212" s="4"/>
      <c r="L212" s="4">
        <f>K212*100*I212</f>
        <v>0</v>
      </c>
      <c r="M212" s="4">
        <f>K212*100*J212</f>
        <v>0</v>
      </c>
      <c r="N212" s="4" t="str">
        <f>IF(O212="Win",M212,IF(O212="Loss",-L212,""))</f>
        <v/>
      </c>
      <c r="O212" s="4"/>
      <c r="P212" s="3"/>
      <c r="Q212" s="4">
        <f>IF(SUM(N$2:N212)="",Dashboard!B3,Dashboard!B3+SUM(N$2:N212))</f>
        <v>4972</v>
      </c>
      <c r="R212" s="3"/>
    </row>
    <row r="213" spans="1:18">
      <c r="A213" s="3"/>
      <c r="B213" s="3"/>
      <c r="C213" s="3"/>
      <c r="D213" s="3"/>
      <c r="E213" s="3"/>
      <c r="F213" s="3"/>
      <c r="G213" s="3"/>
      <c r="H213" s="3"/>
      <c r="I213" s="4"/>
      <c r="J213" s="4"/>
      <c r="K213" s="4"/>
      <c r="L213" s="4">
        <f>K213*100*I213</f>
        <v>0</v>
      </c>
      <c r="M213" s="4">
        <f>K213*100*J213</f>
        <v>0</v>
      </c>
      <c r="N213" s="4" t="str">
        <f>IF(O213="Win",M213,IF(O213="Loss",-L213,""))</f>
        <v/>
      </c>
      <c r="O213" s="4"/>
      <c r="P213" s="3"/>
      <c r="Q213" s="4">
        <f>IF(SUM(N$2:N213)="",Dashboard!B3,Dashboard!B3+SUM(N$2:N213))</f>
        <v>4972</v>
      </c>
      <c r="R213" s="3"/>
    </row>
    <row r="214" spans="1:18">
      <c r="A214" s="3"/>
      <c r="B214" s="3"/>
      <c r="C214" s="3"/>
      <c r="D214" s="3"/>
      <c r="E214" s="3"/>
      <c r="F214" s="3"/>
      <c r="G214" s="3"/>
      <c r="H214" s="3"/>
      <c r="I214" s="4"/>
      <c r="J214" s="4"/>
      <c r="K214" s="4"/>
      <c r="L214" s="4">
        <f>K214*100*I214</f>
        <v>0</v>
      </c>
      <c r="M214" s="4">
        <f>K214*100*J214</f>
        <v>0</v>
      </c>
      <c r="N214" s="4" t="str">
        <f>IF(O214="Win",M214,IF(O214="Loss",-L214,""))</f>
        <v/>
      </c>
      <c r="O214" s="4"/>
      <c r="P214" s="3"/>
      <c r="Q214" s="4">
        <f>IF(SUM(N$2:N214)="",Dashboard!B3,Dashboard!B3+SUM(N$2:N214))</f>
        <v>4972</v>
      </c>
      <c r="R214" s="3"/>
    </row>
    <row r="215" spans="1:18">
      <c r="A215" s="3"/>
      <c r="B215" s="3"/>
      <c r="C215" s="3"/>
      <c r="D215" s="3"/>
      <c r="E215" s="3"/>
      <c r="F215" s="3"/>
      <c r="G215" s="3"/>
      <c r="H215" s="3"/>
      <c r="I215" s="4"/>
      <c r="J215" s="4"/>
      <c r="K215" s="4"/>
      <c r="L215" s="4">
        <f>K215*100*I215</f>
        <v>0</v>
      </c>
      <c r="M215" s="4">
        <f>K215*100*J215</f>
        <v>0</v>
      </c>
      <c r="N215" s="4" t="str">
        <f>IF(O215="Win",M215,IF(O215="Loss",-L215,""))</f>
        <v/>
      </c>
      <c r="O215" s="4"/>
      <c r="P215" s="3"/>
      <c r="Q215" s="4">
        <f>IF(SUM(N$2:N215)="",Dashboard!B3,Dashboard!B3+SUM(N$2:N215))</f>
        <v>4972</v>
      </c>
      <c r="R215" s="3"/>
    </row>
    <row r="216" spans="1:18">
      <c r="A216" s="3"/>
      <c r="B216" s="3"/>
      <c r="C216" s="3"/>
      <c r="D216" s="3"/>
      <c r="E216" s="3"/>
      <c r="F216" s="3"/>
      <c r="G216" s="3"/>
      <c r="H216" s="3"/>
      <c r="I216" s="4"/>
      <c r="J216" s="4"/>
      <c r="K216" s="4"/>
      <c r="L216" s="4">
        <f>K216*100*I216</f>
        <v>0</v>
      </c>
      <c r="M216" s="4">
        <f>K216*100*J216</f>
        <v>0</v>
      </c>
      <c r="N216" s="4" t="str">
        <f>IF(O216="Win",M216,IF(O216="Loss",-L216,""))</f>
        <v/>
      </c>
      <c r="O216" s="4"/>
      <c r="P216" s="3"/>
      <c r="Q216" s="4">
        <f>IF(SUM(N$2:N216)="",Dashboard!B3,Dashboard!B3+SUM(N$2:N216))</f>
        <v>4972</v>
      </c>
      <c r="R216" s="3"/>
    </row>
    <row r="217" spans="1:18">
      <c r="A217" s="3"/>
      <c r="B217" s="3"/>
      <c r="C217" s="3"/>
      <c r="D217" s="3"/>
      <c r="E217" s="3"/>
      <c r="F217" s="3"/>
      <c r="G217" s="3"/>
      <c r="H217" s="3"/>
      <c r="I217" s="4"/>
      <c r="J217" s="4"/>
      <c r="K217" s="4"/>
      <c r="L217" s="4">
        <f>K217*100*I217</f>
        <v>0</v>
      </c>
      <c r="M217" s="4">
        <f>K217*100*J217</f>
        <v>0</v>
      </c>
      <c r="N217" s="4" t="str">
        <f>IF(O217="Win",M217,IF(O217="Loss",-L217,""))</f>
        <v/>
      </c>
      <c r="O217" s="4"/>
      <c r="P217" s="3"/>
      <c r="Q217" s="4">
        <f>IF(SUM(N$2:N217)="",Dashboard!B3,Dashboard!B3+SUM(N$2:N217))</f>
        <v>4972</v>
      </c>
      <c r="R217" s="3"/>
    </row>
    <row r="218" spans="1:18">
      <c r="A218" s="3"/>
      <c r="B218" s="3"/>
      <c r="C218" s="3"/>
      <c r="D218" s="3"/>
      <c r="E218" s="3"/>
      <c r="F218" s="3"/>
      <c r="G218" s="3"/>
      <c r="H218" s="3"/>
      <c r="I218" s="4"/>
      <c r="J218" s="4"/>
      <c r="K218" s="4"/>
      <c r="L218" s="4">
        <f>K218*100*I218</f>
        <v>0</v>
      </c>
      <c r="M218" s="4">
        <f>K218*100*J218</f>
        <v>0</v>
      </c>
      <c r="N218" s="4" t="str">
        <f>IF(O218="Win",M218,IF(O218="Loss",-L218,""))</f>
        <v/>
      </c>
      <c r="O218" s="4"/>
      <c r="P218" s="3"/>
      <c r="Q218" s="4">
        <f>IF(SUM(N$2:N218)="",Dashboard!B3,Dashboard!B3+SUM(N$2:N218))</f>
        <v>4972</v>
      </c>
      <c r="R218" s="3"/>
    </row>
    <row r="219" spans="1:18">
      <c r="A219" s="3"/>
      <c r="B219" s="3"/>
      <c r="C219" s="3"/>
      <c r="D219" s="3"/>
      <c r="E219" s="3"/>
      <c r="F219" s="3"/>
      <c r="G219" s="3"/>
      <c r="H219" s="3"/>
      <c r="I219" s="4"/>
      <c r="J219" s="4"/>
      <c r="K219" s="4"/>
      <c r="L219" s="4">
        <f>K219*100*I219</f>
        <v>0</v>
      </c>
      <c r="M219" s="4">
        <f>K219*100*J219</f>
        <v>0</v>
      </c>
      <c r="N219" s="4" t="str">
        <f>IF(O219="Win",M219,IF(O219="Loss",-L219,""))</f>
        <v/>
      </c>
      <c r="O219" s="4"/>
      <c r="P219" s="3"/>
      <c r="Q219" s="4">
        <f>IF(SUM(N$2:N219)="",Dashboard!B3,Dashboard!B3+SUM(N$2:N219))</f>
        <v>4972</v>
      </c>
      <c r="R219" s="3"/>
    </row>
    <row r="220" spans="1:18">
      <c r="A220" s="3"/>
      <c r="B220" s="3"/>
      <c r="C220" s="3"/>
      <c r="D220" s="3"/>
      <c r="E220" s="3"/>
      <c r="F220" s="3"/>
      <c r="G220" s="3"/>
      <c r="H220" s="3"/>
      <c r="I220" s="4"/>
      <c r="J220" s="4"/>
      <c r="K220" s="4"/>
      <c r="L220" s="4">
        <f>K220*100*I220</f>
        <v>0</v>
      </c>
      <c r="M220" s="4">
        <f>K220*100*J220</f>
        <v>0</v>
      </c>
      <c r="N220" s="4" t="str">
        <f>IF(O220="Win",M220,IF(O220="Loss",-L220,""))</f>
        <v/>
      </c>
      <c r="O220" s="4"/>
      <c r="P220" s="3"/>
      <c r="Q220" s="4">
        <f>IF(SUM(N$2:N220)="",Dashboard!B3,Dashboard!B3+SUM(N$2:N220))</f>
        <v>4972</v>
      </c>
      <c r="R220" s="3"/>
    </row>
    <row r="221" spans="1:18">
      <c r="A221" s="3"/>
      <c r="B221" s="3"/>
      <c r="C221" s="3"/>
      <c r="D221" s="3"/>
      <c r="E221" s="3"/>
      <c r="F221" s="3"/>
      <c r="G221" s="3"/>
      <c r="H221" s="3"/>
      <c r="I221" s="4"/>
      <c r="J221" s="4"/>
      <c r="K221" s="4"/>
      <c r="L221" s="4">
        <f>K221*100*I221</f>
        <v>0</v>
      </c>
      <c r="M221" s="4">
        <f>K221*100*J221</f>
        <v>0</v>
      </c>
      <c r="N221" s="4" t="str">
        <f>IF(O221="Win",M221,IF(O221="Loss",-L221,""))</f>
        <v/>
      </c>
      <c r="O221" s="4"/>
      <c r="P221" s="3"/>
      <c r="Q221" s="4">
        <f>IF(SUM(N$2:N221)="",Dashboard!B3,Dashboard!B3+SUM(N$2:N221))</f>
        <v>4972</v>
      </c>
      <c r="R221" s="3"/>
    </row>
    <row r="222" spans="1:18">
      <c r="A222" s="3"/>
      <c r="B222" s="3"/>
      <c r="C222" s="3"/>
      <c r="D222" s="3"/>
      <c r="E222" s="3"/>
      <c r="F222" s="3"/>
      <c r="G222" s="3"/>
      <c r="H222" s="3"/>
      <c r="I222" s="4"/>
      <c r="J222" s="4"/>
      <c r="K222" s="4"/>
      <c r="L222" s="4">
        <f>K222*100*I222</f>
        <v>0</v>
      </c>
      <c r="M222" s="4">
        <f>K222*100*J222</f>
        <v>0</v>
      </c>
      <c r="N222" s="4" t="str">
        <f>IF(O222="Win",M222,IF(O222="Loss",-L222,""))</f>
        <v/>
      </c>
      <c r="O222" s="4"/>
      <c r="P222" s="3"/>
      <c r="Q222" s="4">
        <f>IF(SUM(N$2:N222)="",Dashboard!B3,Dashboard!B3+SUM(N$2:N222))</f>
        <v>4972</v>
      </c>
      <c r="R222" s="3"/>
    </row>
    <row r="223" spans="1:18">
      <c r="A223" s="3"/>
      <c r="B223" s="3"/>
      <c r="C223" s="3"/>
      <c r="D223" s="3"/>
      <c r="E223" s="3"/>
      <c r="F223" s="3"/>
      <c r="G223" s="3"/>
      <c r="H223" s="3"/>
      <c r="I223" s="4"/>
      <c r="J223" s="4"/>
      <c r="K223" s="4"/>
      <c r="L223" s="4">
        <f>K223*100*I223</f>
        <v>0</v>
      </c>
      <c r="M223" s="4">
        <f>K223*100*J223</f>
        <v>0</v>
      </c>
      <c r="N223" s="4" t="str">
        <f>IF(O223="Win",M223,IF(O223="Loss",-L223,""))</f>
        <v/>
      </c>
      <c r="O223" s="4"/>
      <c r="P223" s="3"/>
      <c r="Q223" s="4">
        <f>IF(SUM(N$2:N223)="",Dashboard!B3,Dashboard!B3+SUM(N$2:N223))</f>
        <v>4972</v>
      </c>
      <c r="R223" s="3"/>
    </row>
    <row r="224" spans="1:18">
      <c r="A224" s="3"/>
      <c r="B224" s="3"/>
      <c r="C224" s="3"/>
      <c r="D224" s="3"/>
      <c r="E224" s="3"/>
      <c r="F224" s="3"/>
      <c r="G224" s="3"/>
      <c r="H224" s="3"/>
      <c r="I224" s="4"/>
      <c r="J224" s="4"/>
      <c r="K224" s="4"/>
      <c r="L224" s="4">
        <f>K224*100*I224</f>
        <v>0</v>
      </c>
      <c r="M224" s="4">
        <f>K224*100*J224</f>
        <v>0</v>
      </c>
      <c r="N224" s="4" t="str">
        <f>IF(O224="Win",M224,IF(O224="Loss",-L224,""))</f>
        <v/>
      </c>
      <c r="O224" s="4"/>
      <c r="P224" s="3"/>
      <c r="Q224" s="4">
        <f>IF(SUM(N$2:N224)="",Dashboard!B3,Dashboard!B3+SUM(N$2:N224))</f>
        <v>4972</v>
      </c>
      <c r="R224" s="3"/>
    </row>
    <row r="225" spans="1:18">
      <c r="A225" s="3"/>
      <c r="B225" s="3"/>
      <c r="C225" s="3"/>
      <c r="D225" s="3"/>
      <c r="E225" s="3"/>
      <c r="F225" s="3"/>
      <c r="G225" s="3"/>
      <c r="H225" s="3"/>
      <c r="I225" s="4"/>
      <c r="J225" s="4"/>
      <c r="K225" s="4"/>
      <c r="L225" s="4">
        <f>K225*100*I225</f>
        <v>0</v>
      </c>
      <c r="M225" s="4">
        <f>K225*100*J225</f>
        <v>0</v>
      </c>
      <c r="N225" s="4" t="str">
        <f>IF(O225="Win",M225,IF(O225="Loss",-L225,""))</f>
        <v/>
      </c>
      <c r="O225" s="4"/>
      <c r="P225" s="3"/>
      <c r="Q225" s="4">
        <f>IF(SUM(N$2:N225)="",Dashboard!B3,Dashboard!B3+SUM(N$2:N225))</f>
        <v>4972</v>
      </c>
      <c r="R225" s="3"/>
    </row>
    <row r="226" spans="1:18">
      <c r="A226" s="3"/>
      <c r="B226" s="3"/>
      <c r="C226" s="3"/>
      <c r="D226" s="3"/>
      <c r="E226" s="3"/>
      <c r="F226" s="3"/>
      <c r="G226" s="3"/>
      <c r="H226" s="3"/>
      <c r="I226" s="4"/>
      <c r="J226" s="4"/>
      <c r="K226" s="4"/>
      <c r="L226" s="4">
        <f>K226*100*I226</f>
        <v>0</v>
      </c>
      <c r="M226" s="4">
        <f>K226*100*J226</f>
        <v>0</v>
      </c>
      <c r="N226" s="4" t="str">
        <f>IF(O226="Win",M226,IF(O226="Loss",-L226,""))</f>
        <v/>
      </c>
      <c r="O226" s="4"/>
      <c r="P226" s="3"/>
      <c r="Q226" s="4">
        <f>IF(SUM(N$2:N226)="",Dashboard!B3,Dashboard!B3+SUM(N$2:N226))</f>
        <v>4972</v>
      </c>
      <c r="R226" s="3"/>
    </row>
    <row r="227" spans="1:18">
      <c r="A227" s="3"/>
      <c r="B227" s="3"/>
      <c r="C227" s="3"/>
      <c r="D227" s="3"/>
      <c r="E227" s="3"/>
      <c r="F227" s="3"/>
      <c r="G227" s="3"/>
      <c r="H227" s="3"/>
      <c r="I227" s="4"/>
      <c r="J227" s="4"/>
      <c r="K227" s="4"/>
      <c r="L227" s="4">
        <f>K227*100*I227</f>
        <v>0</v>
      </c>
      <c r="M227" s="4">
        <f>K227*100*J227</f>
        <v>0</v>
      </c>
      <c r="N227" s="4" t="str">
        <f>IF(O227="Win",M227,IF(O227="Loss",-L227,""))</f>
        <v/>
      </c>
      <c r="O227" s="4"/>
      <c r="P227" s="3"/>
      <c r="Q227" s="4">
        <f>IF(SUM(N$2:N227)="",Dashboard!B3,Dashboard!B3+SUM(N$2:N227))</f>
        <v>4972</v>
      </c>
      <c r="R227" s="3"/>
    </row>
    <row r="228" spans="1:18">
      <c r="A228" s="3"/>
      <c r="B228" s="3"/>
      <c r="C228" s="3"/>
      <c r="D228" s="3"/>
      <c r="E228" s="3"/>
      <c r="F228" s="3"/>
      <c r="G228" s="3"/>
      <c r="H228" s="3"/>
      <c r="I228" s="4"/>
      <c r="J228" s="4"/>
      <c r="K228" s="4"/>
      <c r="L228" s="4">
        <f>K228*100*I228</f>
        <v>0</v>
      </c>
      <c r="M228" s="4">
        <f>K228*100*J228</f>
        <v>0</v>
      </c>
      <c r="N228" s="4" t="str">
        <f>IF(O228="Win",M228,IF(O228="Loss",-L228,""))</f>
        <v/>
      </c>
      <c r="O228" s="4"/>
      <c r="P228" s="3"/>
      <c r="Q228" s="4">
        <f>IF(SUM(N$2:N228)="",Dashboard!B3,Dashboard!B3+SUM(N$2:N228))</f>
        <v>4972</v>
      </c>
      <c r="R228" s="3"/>
    </row>
    <row r="229" spans="1:18">
      <c r="A229" s="3"/>
      <c r="B229" s="3"/>
      <c r="C229" s="3"/>
      <c r="D229" s="3"/>
      <c r="E229" s="3"/>
      <c r="F229" s="3"/>
      <c r="G229" s="3"/>
      <c r="H229" s="3"/>
      <c r="I229" s="4"/>
      <c r="J229" s="4"/>
      <c r="K229" s="4"/>
      <c r="L229" s="4">
        <f>K229*100*I229</f>
        <v>0</v>
      </c>
      <c r="M229" s="4">
        <f>K229*100*J229</f>
        <v>0</v>
      </c>
      <c r="N229" s="4" t="str">
        <f>IF(O229="Win",M229,IF(O229="Loss",-L229,""))</f>
        <v/>
      </c>
      <c r="O229" s="4"/>
      <c r="P229" s="3"/>
      <c r="Q229" s="4">
        <f>IF(SUM(N$2:N229)="",Dashboard!B3,Dashboard!B3+SUM(N$2:N229))</f>
        <v>4972</v>
      </c>
      <c r="R229" s="3"/>
    </row>
    <row r="230" spans="1:18">
      <c r="A230" s="3"/>
      <c r="B230" s="3"/>
      <c r="C230" s="3"/>
      <c r="D230" s="3"/>
      <c r="E230" s="3"/>
      <c r="F230" s="3"/>
      <c r="G230" s="3"/>
      <c r="H230" s="3"/>
      <c r="I230" s="4"/>
      <c r="J230" s="4"/>
      <c r="K230" s="4"/>
      <c r="L230" s="4">
        <f>K230*100*I230</f>
        <v>0</v>
      </c>
      <c r="M230" s="4">
        <f>K230*100*J230</f>
        <v>0</v>
      </c>
      <c r="N230" s="4" t="str">
        <f>IF(O230="Win",M230,IF(O230="Loss",-L230,""))</f>
        <v/>
      </c>
      <c r="O230" s="4"/>
      <c r="P230" s="3"/>
      <c r="Q230" s="4">
        <f>IF(SUM(N$2:N230)="",Dashboard!B3,Dashboard!B3+SUM(N$2:N230))</f>
        <v>4972</v>
      </c>
      <c r="R230" s="3"/>
    </row>
    <row r="231" spans="1:18">
      <c r="A231" s="3"/>
      <c r="B231" s="3"/>
      <c r="C231" s="3"/>
      <c r="D231" s="3"/>
      <c r="E231" s="3"/>
      <c r="F231" s="3"/>
      <c r="G231" s="3"/>
      <c r="H231" s="3"/>
      <c r="I231" s="4"/>
      <c r="J231" s="4"/>
      <c r="K231" s="4"/>
      <c r="L231" s="4">
        <f>K231*100*I231</f>
        <v>0</v>
      </c>
      <c r="M231" s="4">
        <f>K231*100*J231</f>
        <v>0</v>
      </c>
      <c r="N231" s="4" t="str">
        <f>IF(O231="Win",M231,IF(O231="Loss",-L231,""))</f>
        <v/>
      </c>
      <c r="O231" s="4"/>
      <c r="P231" s="3"/>
      <c r="Q231" s="4">
        <f>IF(SUM(N$2:N231)="",Dashboard!B3,Dashboard!B3+SUM(N$2:N231))</f>
        <v>4972</v>
      </c>
      <c r="R231" s="3"/>
    </row>
    <row r="232" spans="1:18">
      <c r="A232" s="3"/>
      <c r="B232" s="3"/>
      <c r="C232" s="3"/>
      <c r="D232" s="3"/>
      <c r="E232" s="3"/>
      <c r="F232" s="3"/>
      <c r="G232" s="3"/>
      <c r="H232" s="3"/>
      <c r="I232" s="4"/>
      <c r="J232" s="4"/>
      <c r="K232" s="4"/>
      <c r="L232" s="4">
        <f>K232*100*I232</f>
        <v>0</v>
      </c>
      <c r="M232" s="4">
        <f>K232*100*J232</f>
        <v>0</v>
      </c>
      <c r="N232" s="4" t="str">
        <f>IF(O232="Win",M232,IF(O232="Loss",-L232,""))</f>
        <v/>
      </c>
      <c r="O232" s="4"/>
      <c r="P232" s="3"/>
      <c r="Q232" s="4">
        <f>IF(SUM(N$2:N232)="",Dashboard!B3,Dashboard!B3+SUM(N$2:N232))</f>
        <v>4972</v>
      </c>
      <c r="R232" s="3"/>
    </row>
    <row r="233" spans="1:18">
      <c r="A233" s="3"/>
      <c r="B233" s="3"/>
      <c r="C233" s="3"/>
      <c r="D233" s="3"/>
      <c r="E233" s="3"/>
      <c r="F233" s="3"/>
      <c r="G233" s="3"/>
      <c r="H233" s="3"/>
      <c r="I233" s="4"/>
      <c r="J233" s="4"/>
      <c r="K233" s="4"/>
      <c r="L233" s="4">
        <f>K233*100*I233</f>
        <v>0</v>
      </c>
      <c r="M233" s="4">
        <f>K233*100*J233</f>
        <v>0</v>
      </c>
      <c r="N233" s="4" t="str">
        <f>IF(O233="Win",M233,IF(O233="Loss",-L233,""))</f>
        <v/>
      </c>
      <c r="O233" s="4"/>
      <c r="P233" s="3"/>
      <c r="Q233" s="4">
        <f>IF(SUM(N$2:N233)="",Dashboard!B3,Dashboard!B3+SUM(N$2:N233))</f>
        <v>4972</v>
      </c>
      <c r="R233" s="3"/>
    </row>
    <row r="234" spans="1:18">
      <c r="A234" s="3"/>
      <c r="B234" s="3"/>
      <c r="C234" s="3"/>
      <c r="D234" s="3"/>
      <c r="E234" s="3"/>
      <c r="F234" s="3"/>
      <c r="G234" s="3"/>
      <c r="H234" s="3"/>
      <c r="I234" s="4"/>
      <c r="J234" s="4"/>
      <c r="K234" s="4"/>
      <c r="L234" s="4">
        <f>K234*100*I234</f>
        <v>0</v>
      </c>
      <c r="M234" s="4">
        <f>K234*100*J234</f>
        <v>0</v>
      </c>
      <c r="N234" s="4" t="str">
        <f>IF(O234="Win",M234,IF(O234="Loss",-L234,""))</f>
        <v/>
      </c>
      <c r="O234" s="4"/>
      <c r="P234" s="3"/>
      <c r="Q234" s="4">
        <f>IF(SUM(N$2:N234)="",Dashboard!B3,Dashboard!B3+SUM(N$2:N234))</f>
        <v>4972</v>
      </c>
      <c r="R234" s="3"/>
    </row>
    <row r="235" spans="1:18">
      <c r="A235" s="3"/>
      <c r="B235" s="3"/>
      <c r="C235" s="3"/>
      <c r="D235" s="3"/>
      <c r="E235" s="3"/>
      <c r="F235" s="3"/>
      <c r="G235" s="3"/>
      <c r="H235" s="3"/>
      <c r="I235" s="4"/>
      <c r="J235" s="4"/>
      <c r="K235" s="4"/>
      <c r="L235" s="4">
        <f>K235*100*I235</f>
        <v>0</v>
      </c>
      <c r="M235" s="4">
        <f>K235*100*J235</f>
        <v>0</v>
      </c>
      <c r="N235" s="4" t="str">
        <f>IF(O235="Win",M235,IF(O235="Loss",-L235,""))</f>
        <v/>
      </c>
      <c r="O235" s="4"/>
      <c r="P235" s="3"/>
      <c r="Q235" s="4">
        <f>IF(SUM(N$2:N235)="",Dashboard!B3,Dashboard!B3+SUM(N$2:N235))</f>
        <v>4972</v>
      </c>
      <c r="R235" s="3"/>
    </row>
    <row r="236" spans="1:18">
      <c r="A236" s="3"/>
      <c r="B236" s="3"/>
      <c r="C236" s="3"/>
      <c r="D236" s="3"/>
      <c r="E236" s="3"/>
      <c r="F236" s="3"/>
      <c r="G236" s="3"/>
      <c r="H236" s="3"/>
      <c r="I236" s="4"/>
      <c r="J236" s="4"/>
      <c r="K236" s="4"/>
      <c r="L236" s="4">
        <f>K236*100*I236</f>
        <v>0</v>
      </c>
      <c r="M236" s="4">
        <f>K236*100*J236</f>
        <v>0</v>
      </c>
      <c r="N236" s="4" t="str">
        <f>IF(O236="Win",M236,IF(O236="Loss",-L236,""))</f>
        <v/>
      </c>
      <c r="O236" s="4"/>
      <c r="P236" s="3"/>
      <c r="Q236" s="4">
        <f>IF(SUM(N$2:N236)="",Dashboard!B3,Dashboard!B3+SUM(N$2:N236))</f>
        <v>4972</v>
      </c>
      <c r="R236" s="3"/>
    </row>
    <row r="237" spans="1:18">
      <c r="A237" s="3"/>
      <c r="B237" s="3"/>
      <c r="C237" s="3"/>
      <c r="D237" s="3"/>
      <c r="E237" s="3"/>
      <c r="F237" s="3"/>
      <c r="G237" s="3"/>
      <c r="H237" s="3"/>
      <c r="I237" s="4"/>
      <c r="J237" s="4"/>
      <c r="K237" s="4"/>
      <c r="L237" s="4">
        <f>K237*100*I237</f>
        <v>0</v>
      </c>
      <c r="M237" s="4">
        <f>K237*100*J237</f>
        <v>0</v>
      </c>
      <c r="N237" s="4" t="str">
        <f>IF(O237="Win",M237,IF(O237="Loss",-L237,""))</f>
        <v/>
      </c>
      <c r="O237" s="4"/>
      <c r="P237" s="3"/>
      <c r="Q237" s="4">
        <f>IF(SUM(N$2:N237)="",Dashboard!B3,Dashboard!B3+SUM(N$2:N237))</f>
        <v>4972</v>
      </c>
      <c r="R237" s="3"/>
    </row>
    <row r="238" spans="1:18">
      <c r="A238" s="3"/>
      <c r="B238" s="3"/>
      <c r="C238" s="3"/>
      <c r="D238" s="3"/>
      <c r="E238" s="3"/>
      <c r="F238" s="3"/>
      <c r="G238" s="3"/>
      <c r="H238" s="3"/>
      <c r="I238" s="4"/>
      <c r="J238" s="4"/>
      <c r="K238" s="4"/>
      <c r="L238" s="4">
        <f>K238*100*I238</f>
        <v>0</v>
      </c>
      <c r="M238" s="4">
        <f>K238*100*J238</f>
        <v>0</v>
      </c>
      <c r="N238" s="4" t="str">
        <f>IF(O238="Win",M238,IF(O238="Loss",-L238,""))</f>
        <v/>
      </c>
      <c r="O238" s="4"/>
      <c r="P238" s="3"/>
      <c r="Q238" s="4">
        <f>IF(SUM(N$2:N238)="",Dashboard!B3,Dashboard!B3+SUM(N$2:N238))</f>
        <v>4972</v>
      </c>
      <c r="R238" s="3"/>
    </row>
    <row r="239" spans="1:18">
      <c r="A239" s="3"/>
      <c r="B239" s="3"/>
      <c r="C239" s="3"/>
      <c r="D239" s="3"/>
      <c r="E239" s="3"/>
      <c r="F239" s="3"/>
      <c r="G239" s="3"/>
      <c r="H239" s="3"/>
      <c r="I239" s="4"/>
      <c r="J239" s="4"/>
      <c r="K239" s="4"/>
      <c r="L239" s="4">
        <f>K239*100*I239</f>
        <v>0</v>
      </c>
      <c r="M239" s="4">
        <f>K239*100*J239</f>
        <v>0</v>
      </c>
      <c r="N239" s="4" t="str">
        <f>IF(O239="Win",M239,IF(O239="Loss",-L239,""))</f>
        <v/>
      </c>
      <c r="O239" s="4"/>
      <c r="P239" s="3"/>
      <c r="Q239" s="4">
        <f>IF(SUM(N$2:N239)="",Dashboard!B3,Dashboard!B3+SUM(N$2:N239))</f>
        <v>4972</v>
      </c>
      <c r="R239" s="3"/>
    </row>
    <row r="240" spans="1:18">
      <c r="A240" s="3"/>
      <c r="B240" s="3"/>
      <c r="C240" s="3"/>
      <c r="D240" s="3"/>
      <c r="E240" s="3"/>
      <c r="F240" s="3"/>
      <c r="G240" s="3"/>
      <c r="H240" s="3"/>
      <c r="I240" s="4"/>
      <c r="J240" s="4"/>
      <c r="K240" s="4"/>
      <c r="L240" s="4">
        <f>K240*100*I240</f>
        <v>0</v>
      </c>
      <c r="M240" s="4">
        <f>K240*100*J240</f>
        <v>0</v>
      </c>
      <c r="N240" s="4" t="str">
        <f>IF(O240="Win",M240,IF(O240="Loss",-L240,""))</f>
        <v/>
      </c>
      <c r="O240" s="4"/>
      <c r="P240" s="3"/>
      <c r="Q240" s="4">
        <f>IF(SUM(N$2:N240)="",Dashboard!B3,Dashboard!B3+SUM(N$2:N240))</f>
        <v>4972</v>
      </c>
      <c r="R240" s="3"/>
    </row>
    <row r="241" spans="1:18">
      <c r="A241" s="3"/>
      <c r="B241" s="3"/>
      <c r="C241" s="3"/>
      <c r="D241" s="3"/>
      <c r="E241" s="3"/>
      <c r="F241" s="3"/>
      <c r="G241" s="3"/>
      <c r="H241" s="3"/>
      <c r="I241" s="4"/>
      <c r="J241" s="4"/>
      <c r="K241" s="4"/>
      <c r="L241" s="4">
        <f>K241*100*I241</f>
        <v>0</v>
      </c>
      <c r="M241" s="4">
        <f>K241*100*J241</f>
        <v>0</v>
      </c>
      <c r="N241" s="4" t="str">
        <f>IF(O241="Win",M241,IF(O241="Loss",-L241,""))</f>
        <v/>
      </c>
      <c r="O241" s="4"/>
      <c r="P241" s="3"/>
      <c r="Q241" s="4">
        <f>IF(SUM(N$2:N241)="",Dashboard!B3,Dashboard!B3+SUM(N$2:N241))</f>
        <v>4972</v>
      </c>
      <c r="R241" s="3"/>
    </row>
    <row r="242" spans="1:18">
      <c r="A242" s="3"/>
      <c r="B242" s="3"/>
      <c r="C242" s="3"/>
      <c r="D242" s="3"/>
      <c r="E242" s="3"/>
      <c r="F242" s="3"/>
      <c r="G242" s="3"/>
      <c r="H242" s="3"/>
      <c r="I242" s="4"/>
      <c r="J242" s="4"/>
      <c r="K242" s="4"/>
      <c r="L242" s="4">
        <f>K242*100*I242</f>
        <v>0</v>
      </c>
      <c r="M242" s="4">
        <f>K242*100*J242</f>
        <v>0</v>
      </c>
      <c r="N242" s="4" t="str">
        <f>IF(O242="Win",M242,IF(O242="Loss",-L242,""))</f>
        <v/>
      </c>
      <c r="O242" s="4"/>
      <c r="P242" s="3"/>
      <c r="Q242" s="4">
        <f>IF(SUM(N$2:N242)="",Dashboard!B3,Dashboard!B3+SUM(N$2:N242))</f>
        <v>4972</v>
      </c>
      <c r="R242" s="3"/>
    </row>
    <row r="243" spans="1:18">
      <c r="A243" s="3"/>
      <c r="B243" s="3"/>
      <c r="C243" s="3"/>
      <c r="D243" s="3"/>
      <c r="E243" s="3"/>
      <c r="F243" s="3"/>
      <c r="G243" s="3"/>
      <c r="H243" s="3"/>
      <c r="I243" s="4"/>
      <c r="J243" s="4"/>
      <c r="K243" s="4"/>
      <c r="L243" s="4">
        <f>K243*100*I243</f>
        <v>0</v>
      </c>
      <c r="M243" s="4">
        <f>K243*100*J243</f>
        <v>0</v>
      </c>
      <c r="N243" s="4" t="str">
        <f>IF(O243="Win",M243,IF(O243="Loss",-L243,""))</f>
        <v/>
      </c>
      <c r="O243" s="4"/>
      <c r="P243" s="3"/>
      <c r="Q243" s="4">
        <f>IF(SUM(N$2:N243)="",Dashboard!B3,Dashboard!B3+SUM(N$2:N243))</f>
        <v>4972</v>
      </c>
      <c r="R243" s="3"/>
    </row>
    <row r="244" spans="1:18">
      <c r="A244" s="3"/>
      <c r="B244" s="3"/>
      <c r="C244" s="3"/>
      <c r="D244" s="3"/>
      <c r="E244" s="3"/>
      <c r="F244" s="3"/>
      <c r="G244" s="3"/>
      <c r="H244" s="3"/>
      <c r="I244" s="4"/>
      <c r="J244" s="4"/>
      <c r="K244" s="4"/>
      <c r="L244" s="4">
        <f>K244*100*I244</f>
        <v>0</v>
      </c>
      <c r="M244" s="4">
        <f>K244*100*J244</f>
        <v>0</v>
      </c>
      <c r="N244" s="4" t="str">
        <f>IF(O244="Win",M244,IF(O244="Loss",-L244,""))</f>
        <v/>
      </c>
      <c r="O244" s="4"/>
      <c r="P244" s="3"/>
      <c r="Q244" s="4">
        <f>IF(SUM(N$2:N244)="",Dashboard!B3,Dashboard!B3+SUM(N$2:N244))</f>
        <v>4972</v>
      </c>
      <c r="R244" s="3"/>
    </row>
    <row r="245" spans="1:18">
      <c r="A245" s="3"/>
      <c r="B245" s="3"/>
      <c r="C245" s="3"/>
      <c r="D245" s="3"/>
      <c r="E245" s="3"/>
      <c r="F245" s="3"/>
      <c r="G245" s="3"/>
      <c r="H245" s="3"/>
      <c r="I245" s="4"/>
      <c r="J245" s="4"/>
      <c r="K245" s="4"/>
      <c r="L245" s="4">
        <f>K245*100*I245</f>
        <v>0</v>
      </c>
      <c r="M245" s="4">
        <f>K245*100*J245</f>
        <v>0</v>
      </c>
      <c r="N245" s="4" t="str">
        <f>IF(O245="Win",M245,IF(O245="Loss",-L245,""))</f>
        <v/>
      </c>
      <c r="O245" s="4"/>
      <c r="P245" s="3"/>
      <c r="Q245" s="4">
        <f>IF(SUM(N$2:N245)="",Dashboard!B3,Dashboard!B3+SUM(N$2:N245))</f>
        <v>4972</v>
      </c>
      <c r="R245" s="3"/>
    </row>
    <row r="246" spans="1:18">
      <c r="A246" s="3"/>
      <c r="B246" s="3"/>
      <c r="C246" s="3"/>
      <c r="D246" s="3"/>
      <c r="E246" s="3"/>
      <c r="F246" s="3"/>
      <c r="G246" s="3"/>
      <c r="H246" s="3"/>
      <c r="I246" s="4"/>
      <c r="J246" s="4"/>
      <c r="K246" s="4"/>
      <c r="L246" s="4">
        <f>K246*100*I246</f>
        <v>0</v>
      </c>
      <c r="M246" s="4">
        <f>K246*100*J246</f>
        <v>0</v>
      </c>
      <c r="N246" s="4" t="str">
        <f>IF(O246="Win",M246,IF(O246="Loss",-L246,""))</f>
        <v/>
      </c>
      <c r="O246" s="4"/>
      <c r="P246" s="3"/>
      <c r="Q246" s="4">
        <f>IF(SUM(N$2:N246)="",Dashboard!B3,Dashboard!B3+SUM(N$2:N246))</f>
        <v>4972</v>
      </c>
      <c r="R246" s="3"/>
    </row>
    <row r="247" spans="1:18">
      <c r="A247" s="3"/>
      <c r="B247" s="3"/>
      <c r="C247" s="3"/>
      <c r="D247" s="3"/>
      <c r="E247" s="3"/>
      <c r="F247" s="3"/>
      <c r="G247" s="3"/>
      <c r="H247" s="3"/>
      <c r="I247" s="4"/>
      <c r="J247" s="4"/>
      <c r="K247" s="4"/>
      <c r="L247" s="4">
        <f>K247*100*I247</f>
        <v>0</v>
      </c>
      <c r="M247" s="4">
        <f>K247*100*J247</f>
        <v>0</v>
      </c>
      <c r="N247" s="4" t="str">
        <f>IF(O247="Win",M247,IF(O247="Loss",-L247,""))</f>
        <v/>
      </c>
      <c r="O247" s="4"/>
      <c r="P247" s="3"/>
      <c r="Q247" s="4">
        <f>IF(SUM(N$2:N247)="",Dashboard!B3,Dashboard!B3+SUM(N$2:N247))</f>
        <v>4972</v>
      </c>
      <c r="R247" s="3"/>
    </row>
    <row r="248" spans="1:18">
      <c r="A248" s="3"/>
      <c r="B248" s="3"/>
      <c r="C248" s="3"/>
      <c r="D248" s="3"/>
      <c r="E248" s="3"/>
      <c r="F248" s="3"/>
      <c r="G248" s="3"/>
      <c r="H248" s="3"/>
      <c r="I248" s="4"/>
      <c r="J248" s="4"/>
      <c r="K248" s="4"/>
      <c r="L248" s="4">
        <f>K248*100*I248</f>
        <v>0</v>
      </c>
      <c r="M248" s="4">
        <f>K248*100*J248</f>
        <v>0</v>
      </c>
      <c r="N248" s="4" t="str">
        <f>IF(O248="Win",M248,IF(O248="Loss",-L248,""))</f>
        <v/>
      </c>
      <c r="O248" s="4"/>
      <c r="P248" s="3"/>
      <c r="Q248" s="4">
        <f>IF(SUM(N$2:N248)="",Dashboard!B3,Dashboard!B3+SUM(N$2:N248))</f>
        <v>4972</v>
      </c>
      <c r="R248" s="3"/>
    </row>
    <row r="249" spans="1:18">
      <c r="A249" s="3"/>
      <c r="B249" s="3"/>
      <c r="C249" s="3"/>
      <c r="D249" s="3"/>
      <c r="E249" s="3"/>
      <c r="F249" s="3"/>
      <c r="G249" s="3"/>
      <c r="H249" s="3"/>
      <c r="I249" s="4"/>
      <c r="J249" s="4"/>
      <c r="K249" s="4"/>
      <c r="L249" s="4">
        <f>K249*100*I249</f>
        <v>0</v>
      </c>
      <c r="M249" s="4">
        <f>K249*100*J249</f>
        <v>0</v>
      </c>
      <c r="N249" s="4" t="str">
        <f>IF(O249="Win",M249,IF(O249="Loss",-L249,""))</f>
        <v/>
      </c>
      <c r="O249" s="4"/>
      <c r="P249" s="3"/>
      <c r="Q249" s="4">
        <f>IF(SUM(N$2:N249)="",Dashboard!B3,Dashboard!B3+SUM(N$2:N249))</f>
        <v>4972</v>
      </c>
      <c r="R249" s="3"/>
    </row>
    <row r="250" spans="1:18">
      <c r="A250" s="3"/>
      <c r="B250" s="3"/>
      <c r="C250" s="3"/>
      <c r="D250" s="3"/>
      <c r="E250" s="3"/>
      <c r="F250" s="3"/>
      <c r="G250" s="3"/>
      <c r="H250" s="3"/>
      <c r="I250" s="4"/>
      <c r="J250" s="4"/>
      <c r="K250" s="4"/>
      <c r="L250" s="4">
        <f>K250*100*I250</f>
        <v>0</v>
      </c>
      <c r="M250" s="4">
        <f>K250*100*J250</f>
        <v>0</v>
      </c>
      <c r="N250" s="4" t="str">
        <f>IF(O250="Win",M250,IF(O250="Loss",-L250,""))</f>
        <v/>
      </c>
      <c r="O250" s="4"/>
      <c r="P250" s="3"/>
      <c r="Q250" s="4">
        <f>IF(SUM(N$2:N250)="",Dashboard!B3,Dashboard!B3+SUM(N$2:N250))</f>
        <v>4972</v>
      </c>
      <c r="R250" s="3"/>
    </row>
    <row r="251" spans="1:18">
      <c r="A251" s="3"/>
      <c r="B251" s="3"/>
      <c r="C251" s="3"/>
      <c r="D251" s="3"/>
      <c r="E251" s="3"/>
      <c r="F251" s="3"/>
      <c r="G251" s="3"/>
      <c r="H251" s="3"/>
      <c r="I251" s="4"/>
      <c r="J251" s="4"/>
      <c r="K251" s="4"/>
      <c r="L251" s="4">
        <f>K251*100*I251</f>
        <v>0</v>
      </c>
      <c r="M251" s="4">
        <f>K251*100*J251</f>
        <v>0</v>
      </c>
      <c r="N251" s="4" t="str">
        <f>IF(O251="Win",M251,IF(O251="Loss",-L251,""))</f>
        <v/>
      </c>
      <c r="O251" s="4"/>
      <c r="P251" s="3"/>
      <c r="Q251" s="4">
        <f>IF(SUM(N$2:N251)="",Dashboard!B3,Dashboard!B3+SUM(N$2:N251))</f>
        <v>4972</v>
      </c>
      <c r="R251" s="3"/>
    </row>
    <row r="252" spans="1:18">
      <c r="A252" s="3"/>
      <c r="B252" s="3"/>
      <c r="C252" s="3"/>
      <c r="D252" s="3"/>
      <c r="E252" s="3"/>
      <c r="F252" s="3"/>
      <c r="G252" s="3"/>
      <c r="H252" s="3"/>
      <c r="I252" s="4"/>
      <c r="J252" s="4"/>
      <c r="K252" s="4"/>
      <c r="L252" s="4">
        <f>K252*100*I252</f>
        <v>0</v>
      </c>
      <c r="M252" s="4">
        <f>K252*100*J252</f>
        <v>0</v>
      </c>
      <c r="N252" s="4" t="str">
        <f>IF(O252="Win",M252,IF(O252="Loss",-L252,""))</f>
        <v/>
      </c>
      <c r="O252" s="4"/>
      <c r="P252" s="3"/>
      <c r="Q252" s="4">
        <f>IF(SUM(N$2:N252)="",Dashboard!B3,Dashboard!B3+SUM(N$2:N252))</f>
        <v>4972</v>
      </c>
      <c r="R252" s="3"/>
    </row>
    <row r="253" spans="1:18">
      <c r="A253" s="3"/>
      <c r="B253" s="3"/>
      <c r="C253" s="3"/>
      <c r="D253" s="3"/>
      <c r="E253" s="3"/>
      <c r="F253" s="3"/>
      <c r="G253" s="3"/>
      <c r="H253" s="3"/>
      <c r="I253" s="4"/>
      <c r="J253" s="4"/>
      <c r="K253" s="4"/>
      <c r="L253" s="4">
        <f>K253*100*I253</f>
        <v>0</v>
      </c>
      <c r="M253" s="4">
        <f>K253*100*J253</f>
        <v>0</v>
      </c>
      <c r="N253" s="4" t="str">
        <f>IF(O253="Win",M253,IF(O253="Loss",-L253,""))</f>
        <v/>
      </c>
      <c r="O253" s="4"/>
      <c r="P253" s="3"/>
      <c r="Q253" s="4">
        <f>IF(SUM(N$2:N253)="",Dashboard!B3,Dashboard!B3+SUM(N$2:N253))</f>
        <v>4972</v>
      </c>
      <c r="R253" s="3"/>
    </row>
    <row r="254" spans="1:18">
      <c r="A254" s="3"/>
      <c r="B254" s="3"/>
      <c r="C254" s="3"/>
      <c r="D254" s="3"/>
      <c r="E254" s="3"/>
      <c r="F254" s="3"/>
      <c r="G254" s="3"/>
      <c r="H254" s="3"/>
      <c r="I254" s="4"/>
      <c r="J254" s="4"/>
      <c r="K254" s="4"/>
      <c r="L254" s="4">
        <f>K254*100*I254</f>
        <v>0</v>
      </c>
      <c r="M254" s="4">
        <f>K254*100*J254</f>
        <v>0</v>
      </c>
      <c r="N254" s="4" t="str">
        <f>IF(O254="Win",M254,IF(O254="Loss",-L254,""))</f>
        <v/>
      </c>
      <c r="O254" s="4"/>
      <c r="P254" s="3"/>
      <c r="Q254" s="4">
        <f>IF(SUM(N$2:N254)="",Dashboard!B3,Dashboard!B3+SUM(N$2:N254))</f>
        <v>4972</v>
      </c>
      <c r="R254" s="3"/>
    </row>
    <row r="255" spans="1:18">
      <c r="A255" s="3"/>
      <c r="B255" s="3"/>
      <c r="C255" s="3"/>
      <c r="D255" s="3"/>
      <c r="E255" s="3"/>
      <c r="F255" s="3"/>
      <c r="G255" s="3"/>
      <c r="H255" s="3"/>
      <c r="I255" s="4"/>
      <c r="J255" s="4"/>
      <c r="K255" s="4"/>
      <c r="L255" s="4">
        <f>K255*100*I255</f>
        <v>0</v>
      </c>
      <c r="M255" s="4">
        <f>K255*100*J255</f>
        <v>0</v>
      </c>
      <c r="N255" s="4" t="str">
        <f>IF(O255="Win",M255,IF(O255="Loss",-L255,""))</f>
        <v/>
      </c>
      <c r="O255" s="4"/>
      <c r="P255" s="3"/>
      <c r="Q255" s="4">
        <f>IF(SUM(N$2:N255)="",Dashboard!B3,Dashboard!B3+SUM(N$2:N255))</f>
        <v>4972</v>
      </c>
      <c r="R255" s="3"/>
    </row>
    <row r="256" spans="1:18">
      <c r="A256" s="3"/>
      <c r="B256" s="3"/>
      <c r="C256" s="3"/>
      <c r="D256" s="3"/>
      <c r="E256" s="3"/>
      <c r="F256" s="3"/>
      <c r="G256" s="3"/>
      <c r="H256" s="3"/>
      <c r="I256" s="4"/>
      <c r="J256" s="4"/>
      <c r="K256" s="4"/>
      <c r="L256" s="4">
        <f>K256*100*I256</f>
        <v>0</v>
      </c>
      <c r="M256" s="4">
        <f>K256*100*J256</f>
        <v>0</v>
      </c>
      <c r="N256" s="4" t="str">
        <f>IF(O256="Win",M256,IF(O256="Loss",-L256,""))</f>
        <v/>
      </c>
      <c r="O256" s="4"/>
      <c r="P256" s="3"/>
      <c r="Q256" s="4">
        <f>IF(SUM(N$2:N256)="",Dashboard!B3,Dashboard!B3+SUM(N$2:N256))</f>
        <v>4972</v>
      </c>
      <c r="R256" s="3"/>
    </row>
    <row r="257" spans="1:18">
      <c r="A257" s="3"/>
      <c r="B257" s="3"/>
      <c r="C257" s="3"/>
      <c r="D257" s="3"/>
      <c r="E257" s="3"/>
      <c r="F257" s="3"/>
      <c r="G257" s="3"/>
      <c r="H257" s="3"/>
      <c r="I257" s="4"/>
      <c r="J257" s="4"/>
      <c r="K257" s="4"/>
      <c r="L257" s="4">
        <f>K257*100*I257</f>
        <v>0</v>
      </c>
      <c r="M257" s="4">
        <f>K257*100*J257</f>
        <v>0</v>
      </c>
      <c r="N257" s="4" t="str">
        <f>IF(O257="Win",M257,IF(O257="Loss",-L257,""))</f>
        <v/>
      </c>
      <c r="O257" s="4"/>
      <c r="P257" s="3"/>
      <c r="Q257" s="4">
        <f>IF(SUM(N$2:N257)="",Dashboard!B3,Dashboard!B3+SUM(N$2:N257))</f>
        <v>4972</v>
      </c>
      <c r="R257" s="3"/>
    </row>
    <row r="258" spans="1:18">
      <c r="A258" s="3"/>
      <c r="B258" s="3"/>
      <c r="C258" s="3"/>
      <c r="D258" s="3"/>
      <c r="E258" s="3"/>
      <c r="F258" s="3"/>
      <c r="G258" s="3"/>
      <c r="H258" s="3"/>
      <c r="I258" s="4"/>
      <c r="J258" s="4"/>
      <c r="K258" s="4"/>
      <c r="L258" s="4">
        <f>K258*100*I258</f>
        <v>0</v>
      </c>
      <c r="M258" s="4">
        <f>K258*100*J258</f>
        <v>0</v>
      </c>
      <c r="N258" s="4" t="str">
        <f>IF(O258="Win",M258,IF(O258="Loss",-L258,""))</f>
        <v/>
      </c>
      <c r="O258" s="4"/>
      <c r="P258" s="3"/>
      <c r="Q258" s="4">
        <f>IF(SUM(N$2:N258)="",Dashboard!B3,Dashboard!B3+SUM(N$2:N258))</f>
        <v>4972</v>
      </c>
      <c r="R258" s="3"/>
    </row>
    <row r="259" spans="1:18">
      <c r="A259" s="3"/>
      <c r="B259" s="3"/>
      <c r="C259" s="3"/>
      <c r="D259" s="3"/>
      <c r="E259" s="3"/>
      <c r="F259" s="3"/>
      <c r="G259" s="3"/>
      <c r="H259" s="3"/>
      <c r="I259" s="4"/>
      <c r="J259" s="4"/>
      <c r="K259" s="4"/>
      <c r="L259" s="4">
        <f>K259*100*I259</f>
        <v>0</v>
      </c>
      <c r="M259" s="4">
        <f>K259*100*J259</f>
        <v>0</v>
      </c>
      <c r="N259" s="4" t="str">
        <f>IF(O259="Win",M259,IF(O259="Loss",-L259,""))</f>
        <v/>
      </c>
      <c r="O259" s="4"/>
      <c r="P259" s="3"/>
      <c r="Q259" s="4">
        <f>IF(SUM(N$2:N259)="",Dashboard!B3,Dashboard!B3+SUM(N$2:N259))</f>
        <v>4972</v>
      </c>
      <c r="R259" s="3"/>
    </row>
    <row r="260" spans="1:18">
      <c r="A260" s="3"/>
      <c r="B260" s="3"/>
      <c r="C260" s="3"/>
      <c r="D260" s="3"/>
      <c r="E260" s="3"/>
      <c r="F260" s="3"/>
      <c r="G260" s="3"/>
      <c r="H260" s="3"/>
      <c r="I260" s="4"/>
      <c r="J260" s="4"/>
      <c r="K260" s="4"/>
      <c r="L260" s="4">
        <f>K260*100*I260</f>
        <v>0</v>
      </c>
      <c r="M260" s="4">
        <f>K260*100*J260</f>
        <v>0</v>
      </c>
      <c r="N260" s="4" t="str">
        <f>IF(O260="Win",M260,IF(O260="Loss",-L260,""))</f>
        <v/>
      </c>
      <c r="O260" s="4"/>
      <c r="P260" s="3"/>
      <c r="Q260" s="4">
        <f>IF(SUM(N$2:N260)="",Dashboard!B3,Dashboard!B3+SUM(N$2:N260))</f>
        <v>4972</v>
      </c>
      <c r="R260" s="3"/>
    </row>
    <row r="261" spans="1:18">
      <c r="A261" s="3"/>
      <c r="B261" s="3"/>
      <c r="C261" s="3"/>
      <c r="D261" s="3"/>
      <c r="E261" s="3"/>
      <c r="F261" s="3"/>
      <c r="G261" s="3"/>
      <c r="H261" s="3"/>
      <c r="I261" s="4"/>
      <c r="J261" s="4"/>
      <c r="K261" s="4"/>
      <c r="L261" s="4">
        <f>K261*100*I261</f>
        <v>0</v>
      </c>
      <c r="M261" s="4">
        <f>K261*100*J261</f>
        <v>0</v>
      </c>
      <c r="N261" s="4" t="str">
        <f>IF(O261="Win",M261,IF(O261="Loss",-L261,""))</f>
        <v/>
      </c>
      <c r="O261" s="4"/>
      <c r="P261" s="3"/>
      <c r="Q261" s="4">
        <f>IF(SUM(N$2:N261)="",Dashboard!B3,Dashboard!B3+SUM(N$2:N261))</f>
        <v>4972</v>
      </c>
      <c r="R261" s="3"/>
    </row>
    <row r="262" spans="1:18">
      <c r="A262" s="3"/>
      <c r="B262" s="3"/>
      <c r="C262" s="3"/>
      <c r="D262" s="3"/>
      <c r="E262" s="3"/>
      <c r="F262" s="3"/>
      <c r="G262" s="3"/>
      <c r="H262" s="3"/>
      <c r="I262" s="4"/>
      <c r="J262" s="4"/>
      <c r="K262" s="4"/>
      <c r="L262" s="4">
        <f>K262*100*I262</f>
        <v>0</v>
      </c>
      <c r="M262" s="4">
        <f>K262*100*J262</f>
        <v>0</v>
      </c>
      <c r="N262" s="4" t="str">
        <f>IF(O262="Win",M262,IF(O262="Loss",-L262,""))</f>
        <v/>
      </c>
      <c r="O262" s="4"/>
      <c r="P262" s="3"/>
      <c r="Q262" s="4">
        <f>IF(SUM(N$2:N262)="",Dashboard!B3,Dashboard!B3+SUM(N$2:N262))</f>
        <v>4972</v>
      </c>
      <c r="R262" s="3"/>
    </row>
    <row r="263" spans="1:18">
      <c r="A263" s="3"/>
      <c r="B263" s="3"/>
      <c r="C263" s="3"/>
      <c r="D263" s="3"/>
      <c r="E263" s="3"/>
      <c r="F263" s="3"/>
      <c r="G263" s="3"/>
      <c r="H263" s="3"/>
      <c r="I263" s="4"/>
      <c r="J263" s="4"/>
      <c r="K263" s="4"/>
      <c r="L263" s="4">
        <f>K263*100*I263</f>
        <v>0</v>
      </c>
      <c r="M263" s="4">
        <f>K263*100*J263</f>
        <v>0</v>
      </c>
      <c r="N263" s="4" t="str">
        <f>IF(O263="Win",M263,IF(O263="Loss",-L263,""))</f>
        <v/>
      </c>
      <c r="O263" s="4"/>
      <c r="P263" s="3"/>
      <c r="Q263" s="4">
        <f>IF(SUM(N$2:N263)="",Dashboard!B3,Dashboard!B3+SUM(N$2:N263))</f>
        <v>4972</v>
      </c>
      <c r="R263" s="3"/>
    </row>
    <row r="264" spans="1:18">
      <c r="A264" s="3"/>
      <c r="B264" s="3"/>
      <c r="C264" s="3"/>
      <c r="D264" s="3"/>
      <c r="E264" s="3"/>
      <c r="F264" s="3"/>
      <c r="G264" s="3"/>
      <c r="H264" s="3"/>
      <c r="I264" s="4"/>
      <c r="J264" s="4"/>
      <c r="K264" s="4"/>
      <c r="L264" s="4">
        <f>K264*100*I264</f>
        <v>0</v>
      </c>
      <c r="M264" s="4">
        <f>K264*100*J264</f>
        <v>0</v>
      </c>
      <c r="N264" s="4" t="str">
        <f>IF(O264="Win",M264,IF(O264="Loss",-L264,""))</f>
        <v/>
      </c>
      <c r="O264" s="4"/>
      <c r="P264" s="3"/>
      <c r="Q264" s="4">
        <f>IF(SUM(N$2:N264)="",Dashboard!B3,Dashboard!B3+SUM(N$2:N264))</f>
        <v>4972</v>
      </c>
      <c r="R264" s="3"/>
    </row>
    <row r="265" spans="1:18">
      <c r="A265" s="3"/>
      <c r="B265" s="3"/>
      <c r="C265" s="3"/>
      <c r="D265" s="3"/>
      <c r="E265" s="3"/>
      <c r="F265" s="3"/>
      <c r="G265" s="3"/>
      <c r="H265" s="3"/>
      <c r="I265" s="4"/>
      <c r="J265" s="4"/>
      <c r="K265" s="4"/>
      <c r="L265" s="4">
        <f>K265*100*I265</f>
        <v>0</v>
      </c>
      <c r="M265" s="4">
        <f>K265*100*J265</f>
        <v>0</v>
      </c>
      <c r="N265" s="4" t="str">
        <f>IF(O265="Win",M265,IF(O265="Loss",-L265,""))</f>
        <v/>
      </c>
      <c r="O265" s="4"/>
      <c r="P265" s="3"/>
      <c r="Q265" s="4">
        <f>IF(SUM(N$2:N265)="",Dashboard!B3,Dashboard!B3+SUM(N$2:N265))</f>
        <v>4972</v>
      </c>
      <c r="R265" s="3"/>
    </row>
    <row r="266" spans="1:18">
      <c r="A266" s="3"/>
      <c r="B266" s="3"/>
      <c r="C266" s="3"/>
      <c r="D266" s="3"/>
      <c r="E266" s="3"/>
      <c r="F266" s="3"/>
      <c r="G266" s="3"/>
      <c r="H266" s="3"/>
      <c r="I266" s="4"/>
      <c r="J266" s="4"/>
      <c r="K266" s="4"/>
      <c r="L266" s="4">
        <f>K266*100*I266</f>
        <v>0</v>
      </c>
      <c r="M266" s="4">
        <f>K266*100*J266</f>
        <v>0</v>
      </c>
      <c r="N266" s="4" t="str">
        <f>IF(O266="Win",M266,IF(O266="Loss",-L266,""))</f>
        <v/>
      </c>
      <c r="O266" s="4"/>
      <c r="P266" s="3"/>
      <c r="Q266" s="4">
        <f>IF(SUM(N$2:N266)="",Dashboard!B3,Dashboard!B3+SUM(N$2:N266))</f>
        <v>4972</v>
      </c>
      <c r="R266" s="3"/>
    </row>
    <row r="267" spans="1:18">
      <c r="A267" s="3"/>
      <c r="B267" s="3"/>
      <c r="C267" s="3"/>
      <c r="D267" s="3"/>
      <c r="E267" s="3"/>
      <c r="F267" s="3"/>
      <c r="G267" s="3"/>
      <c r="H267" s="3"/>
      <c r="I267" s="4"/>
      <c r="J267" s="4"/>
      <c r="K267" s="4"/>
      <c r="L267" s="4">
        <f>K267*100*I267</f>
        <v>0</v>
      </c>
      <c r="M267" s="4">
        <f>K267*100*J267</f>
        <v>0</v>
      </c>
      <c r="N267" s="4" t="str">
        <f>IF(O267="Win",M267,IF(O267="Loss",-L267,""))</f>
        <v/>
      </c>
      <c r="O267" s="4"/>
      <c r="P267" s="3"/>
      <c r="Q267" s="4">
        <f>IF(SUM(N$2:N267)="",Dashboard!B3,Dashboard!B3+SUM(N$2:N267))</f>
        <v>4972</v>
      </c>
      <c r="R267" s="3"/>
    </row>
    <row r="268" spans="1:18">
      <c r="A268" s="3"/>
      <c r="B268" s="3"/>
      <c r="C268" s="3"/>
      <c r="D268" s="3"/>
      <c r="E268" s="3"/>
      <c r="F268" s="3"/>
      <c r="G268" s="3"/>
      <c r="H268" s="3"/>
      <c r="I268" s="4"/>
      <c r="J268" s="4"/>
      <c r="K268" s="4"/>
      <c r="L268" s="4">
        <f>K268*100*I268</f>
        <v>0</v>
      </c>
      <c r="M268" s="4">
        <f>K268*100*J268</f>
        <v>0</v>
      </c>
      <c r="N268" s="4" t="str">
        <f>IF(O268="Win",M268,IF(O268="Loss",-L268,""))</f>
        <v/>
      </c>
      <c r="O268" s="4"/>
      <c r="P268" s="3"/>
      <c r="Q268" s="4">
        <f>IF(SUM(N$2:N268)="",Dashboard!B3,Dashboard!B3+SUM(N$2:N268))</f>
        <v>4972</v>
      </c>
      <c r="R268" s="3"/>
    </row>
    <row r="269" spans="1:18">
      <c r="A269" s="3"/>
      <c r="B269" s="3"/>
      <c r="C269" s="3"/>
      <c r="D269" s="3"/>
      <c r="E269" s="3"/>
      <c r="F269" s="3"/>
      <c r="G269" s="3"/>
      <c r="H269" s="3"/>
      <c r="I269" s="4"/>
      <c r="J269" s="4"/>
      <c r="K269" s="4"/>
      <c r="L269" s="4">
        <f>K269*100*I269</f>
        <v>0</v>
      </c>
      <c r="M269" s="4">
        <f>K269*100*J269</f>
        <v>0</v>
      </c>
      <c r="N269" s="4" t="str">
        <f>IF(O269="Win",M269,IF(O269="Loss",-L269,""))</f>
        <v/>
      </c>
      <c r="O269" s="4"/>
      <c r="P269" s="3"/>
      <c r="Q269" s="4">
        <f>IF(SUM(N$2:N269)="",Dashboard!B3,Dashboard!B3+SUM(N$2:N269))</f>
        <v>4972</v>
      </c>
      <c r="R269" s="3"/>
    </row>
    <row r="270" spans="1:18">
      <c r="A270" s="3"/>
      <c r="B270" s="3"/>
      <c r="C270" s="3"/>
      <c r="D270" s="3"/>
      <c r="E270" s="3"/>
      <c r="F270" s="3"/>
      <c r="G270" s="3"/>
      <c r="H270" s="3"/>
      <c r="I270" s="4"/>
      <c r="J270" s="4"/>
      <c r="K270" s="4"/>
      <c r="L270" s="4">
        <f>K270*100*I270</f>
        <v>0</v>
      </c>
      <c r="M270" s="4">
        <f>K270*100*J270</f>
        <v>0</v>
      </c>
      <c r="N270" s="4" t="str">
        <f>IF(O270="Win",M270,IF(O270="Loss",-L270,""))</f>
        <v/>
      </c>
      <c r="O270" s="4"/>
      <c r="P270" s="3"/>
      <c r="Q270" s="4">
        <f>IF(SUM(N$2:N270)="",Dashboard!B3,Dashboard!B3+SUM(N$2:N270))</f>
        <v>4972</v>
      </c>
      <c r="R270" s="3"/>
    </row>
    <row r="271" spans="1:18">
      <c r="A271" s="3"/>
      <c r="B271" s="3"/>
      <c r="C271" s="3"/>
      <c r="D271" s="3"/>
      <c r="E271" s="3"/>
      <c r="F271" s="3"/>
      <c r="G271" s="3"/>
      <c r="H271" s="3"/>
      <c r="I271" s="4"/>
      <c r="J271" s="4"/>
      <c r="K271" s="4"/>
      <c r="L271" s="4">
        <f>K271*100*I271</f>
        <v>0</v>
      </c>
      <c r="M271" s="4">
        <f>K271*100*J271</f>
        <v>0</v>
      </c>
      <c r="N271" s="4" t="str">
        <f>IF(O271="Win",M271,IF(O271="Loss",-L271,""))</f>
        <v/>
      </c>
      <c r="O271" s="4"/>
      <c r="P271" s="3"/>
      <c r="Q271" s="4">
        <f>IF(SUM(N$2:N271)="",Dashboard!B3,Dashboard!B3+SUM(N$2:N271))</f>
        <v>4972</v>
      </c>
      <c r="R271" s="3"/>
    </row>
    <row r="272" spans="1:18">
      <c r="A272" s="3"/>
      <c r="B272" s="3"/>
      <c r="C272" s="3"/>
      <c r="D272" s="3"/>
      <c r="E272" s="3"/>
      <c r="F272" s="3"/>
      <c r="G272" s="3"/>
      <c r="H272" s="3"/>
      <c r="I272" s="4"/>
      <c r="J272" s="4"/>
      <c r="K272" s="4"/>
      <c r="L272" s="4">
        <f>K272*100*I272</f>
        <v>0</v>
      </c>
      <c r="M272" s="4">
        <f>K272*100*J272</f>
        <v>0</v>
      </c>
      <c r="N272" s="4" t="str">
        <f>IF(O272="Win",M272,IF(O272="Loss",-L272,""))</f>
        <v/>
      </c>
      <c r="O272" s="4"/>
      <c r="P272" s="3"/>
      <c r="Q272" s="4">
        <f>IF(SUM(N$2:N272)="",Dashboard!B3,Dashboard!B3+SUM(N$2:N272))</f>
        <v>4972</v>
      </c>
      <c r="R272" s="3"/>
    </row>
    <row r="273" spans="1:18">
      <c r="A273" s="3"/>
      <c r="B273" s="3"/>
      <c r="C273" s="3"/>
      <c r="D273" s="3"/>
      <c r="E273" s="3"/>
      <c r="F273" s="3"/>
      <c r="G273" s="3"/>
      <c r="H273" s="3"/>
      <c r="I273" s="4"/>
      <c r="J273" s="4"/>
      <c r="K273" s="4"/>
      <c r="L273" s="4">
        <f>K273*100*I273</f>
        <v>0</v>
      </c>
      <c r="M273" s="4">
        <f>K273*100*J273</f>
        <v>0</v>
      </c>
      <c r="N273" s="4" t="str">
        <f>IF(O273="Win",M273,IF(O273="Loss",-L273,""))</f>
        <v/>
      </c>
      <c r="O273" s="4"/>
      <c r="P273" s="3"/>
      <c r="Q273" s="4">
        <f>IF(SUM(N$2:N273)="",Dashboard!B3,Dashboard!B3+SUM(N$2:N273))</f>
        <v>4972</v>
      </c>
      <c r="R273" s="3"/>
    </row>
    <row r="274" spans="1:18">
      <c r="A274" s="3"/>
      <c r="B274" s="3"/>
      <c r="C274" s="3"/>
      <c r="D274" s="3"/>
      <c r="E274" s="3"/>
      <c r="F274" s="3"/>
      <c r="G274" s="3"/>
      <c r="H274" s="3"/>
      <c r="I274" s="4"/>
      <c r="J274" s="4"/>
      <c r="K274" s="4"/>
      <c r="L274" s="4">
        <f>K274*100*I274</f>
        <v>0</v>
      </c>
      <c r="M274" s="4">
        <f>K274*100*J274</f>
        <v>0</v>
      </c>
      <c r="N274" s="4" t="str">
        <f>IF(O274="Win",M274,IF(O274="Loss",-L274,""))</f>
        <v/>
      </c>
      <c r="O274" s="4"/>
      <c r="P274" s="3"/>
      <c r="Q274" s="4">
        <f>IF(SUM(N$2:N274)="",Dashboard!B3,Dashboard!B3+SUM(N$2:N274))</f>
        <v>4972</v>
      </c>
      <c r="R274" s="3"/>
    </row>
    <row r="275" spans="1:18">
      <c r="A275" s="3"/>
      <c r="B275" s="3"/>
      <c r="C275" s="3"/>
      <c r="D275" s="3"/>
      <c r="E275" s="3"/>
      <c r="F275" s="3"/>
      <c r="G275" s="3"/>
      <c r="H275" s="3"/>
      <c r="I275" s="4"/>
      <c r="J275" s="4"/>
      <c r="K275" s="4"/>
      <c r="L275" s="4">
        <f>K275*100*I275</f>
        <v>0</v>
      </c>
      <c r="M275" s="4">
        <f>K275*100*J275</f>
        <v>0</v>
      </c>
      <c r="N275" s="4" t="str">
        <f>IF(O275="Win",M275,IF(O275="Loss",-L275,""))</f>
        <v/>
      </c>
      <c r="O275" s="4"/>
      <c r="P275" s="3"/>
      <c r="Q275" s="4">
        <f>IF(SUM(N$2:N275)="",Dashboard!B3,Dashboard!B3+SUM(N$2:N275))</f>
        <v>4972</v>
      </c>
      <c r="R275" s="3"/>
    </row>
    <row r="276" spans="1:18">
      <c r="A276" s="3"/>
      <c r="B276" s="3"/>
      <c r="C276" s="3"/>
      <c r="D276" s="3"/>
      <c r="E276" s="3"/>
      <c r="F276" s="3"/>
      <c r="G276" s="3"/>
      <c r="H276" s="3"/>
      <c r="I276" s="4"/>
      <c r="J276" s="4"/>
      <c r="K276" s="4"/>
      <c r="L276" s="4">
        <f>K276*100*I276</f>
        <v>0</v>
      </c>
      <c r="M276" s="4">
        <f>K276*100*J276</f>
        <v>0</v>
      </c>
      <c r="N276" s="4" t="str">
        <f>IF(O276="Win",M276,IF(O276="Loss",-L276,""))</f>
        <v/>
      </c>
      <c r="O276" s="4"/>
      <c r="P276" s="3"/>
      <c r="Q276" s="4">
        <f>IF(SUM(N$2:N276)="",Dashboard!B3,Dashboard!B3+SUM(N$2:N276))</f>
        <v>4972</v>
      </c>
      <c r="R276" s="3"/>
    </row>
    <row r="277" spans="1:18">
      <c r="A277" s="3"/>
      <c r="B277" s="3"/>
      <c r="C277" s="3"/>
      <c r="D277" s="3"/>
      <c r="E277" s="3"/>
      <c r="F277" s="3"/>
      <c r="G277" s="3"/>
      <c r="H277" s="3"/>
      <c r="I277" s="4"/>
      <c r="J277" s="4"/>
      <c r="K277" s="4"/>
      <c r="L277" s="4">
        <f>K277*100*I277</f>
        <v>0</v>
      </c>
      <c r="M277" s="4">
        <f>K277*100*J277</f>
        <v>0</v>
      </c>
      <c r="N277" s="4" t="str">
        <f>IF(O277="Win",M277,IF(O277="Loss",-L277,""))</f>
        <v/>
      </c>
      <c r="O277" s="4"/>
      <c r="P277" s="3"/>
      <c r="Q277" s="4">
        <f>IF(SUM(N$2:N277)="",Dashboard!B3,Dashboard!B3+SUM(N$2:N277))</f>
        <v>4972</v>
      </c>
      <c r="R277" s="3"/>
    </row>
    <row r="278" spans="1:18">
      <c r="A278" s="3"/>
      <c r="B278" s="3"/>
      <c r="C278" s="3"/>
      <c r="D278" s="3"/>
      <c r="E278" s="3"/>
      <c r="F278" s="3"/>
      <c r="G278" s="3"/>
      <c r="H278" s="3"/>
      <c r="I278" s="4"/>
      <c r="J278" s="4"/>
      <c r="K278" s="4"/>
      <c r="L278" s="4">
        <f>K278*100*I278</f>
        <v>0</v>
      </c>
      <c r="M278" s="4">
        <f>K278*100*J278</f>
        <v>0</v>
      </c>
      <c r="N278" s="4" t="str">
        <f>IF(O278="Win",M278,IF(O278="Loss",-L278,""))</f>
        <v/>
      </c>
      <c r="O278" s="4"/>
      <c r="P278" s="3"/>
      <c r="Q278" s="4">
        <f>IF(SUM(N$2:N278)="",Dashboard!B3,Dashboard!B3+SUM(N$2:N278))</f>
        <v>4972</v>
      </c>
      <c r="R278" s="3"/>
    </row>
    <row r="279" spans="1:18">
      <c r="A279" s="3"/>
      <c r="B279" s="3"/>
      <c r="C279" s="3"/>
      <c r="D279" s="3"/>
      <c r="E279" s="3"/>
      <c r="F279" s="3"/>
      <c r="G279" s="3"/>
      <c r="H279" s="3"/>
      <c r="I279" s="4"/>
      <c r="J279" s="4"/>
      <c r="K279" s="4"/>
      <c r="L279" s="4">
        <f>K279*100*I279</f>
        <v>0</v>
      </c>
      <c r="M279" s="4">
        <f>K279*100*J279</f>
        <v>0</v>
      </c>
      <c r="N279" s="4" t="str">
        <f>IF(O279="Win",M279,IF(O279="Loss",-L279,""))</f>
        <v/>
      </c>
      <c r="O279" s="4"/>
      <c r="P279" s="3"/>
      <c r="Q279" s="4">
        <f>IF(SUM(N$2:N279)="",Dashboard!B3,Dashboard!B3+SUM(N$2:N279))</f>
        <v>4972</v>
      </c>
      <c r="R279" s="3"/>
    </row>
    <row r="280" spans="1:18">
      <c r="A280" s="3"/>
      <c r="B280" s="3"/>
      <c r="C280" s="3"/>
      <c r="D280" s="3"/>
      <c r="E280" s="3"/>
      <c r="F280" s="3"/>
      <c r="G280" s="3"/>
      <c r="H280" s="3"/>
      <c r="I280" s="4"/>
      <c r="J280" s="4"/>
      <c r="K280" s="4"/>
      <c r="L280" s="4">
        <f>K280*100*I280</f>
        <v>0</v>
      </c>
      <c r="M280" s="4">
        <f>K280*100*J280</f>
        <v>0</v>
      </c>
      <c r="N280" s="4" t="str">
        <f>IF(O280="Win",M280,IF(O280="Loss",-L280,""))</f>
        <v/>
      </c>
      <c r="O280" s="4"/>
      <c r="P280" s="3"/>
      <c r="Q280" s="4">
        <f>IF(SUM(N$2:N280)="",Dashboard!B3,Dashboard!B3+SUM(N$2:N280))</f>
        <v>4972</v>
      </c>
      <c r="R280" s="3"/>
    </row>
    <row r="281" spans="1:18">
      <c r="A281" s="3"/>
      <c r="B281" s="3"/>
      <c r="C281" s="3"/>
      <c r="D281" s="3"/>
      <c r="E281" s="3"/>
      <c r="F281" s="3"/>
      <c r="G281" s="3"/>
      <c r="H281" s="3"/>
      <c r="I281" s="4"/>
      <c r="J281" s="4"/>
      <c r="K281" s="4"/>
      <c r="L281" s="4">
        <f>K281*100*I281</f>
        <v>0</v>
      </c>
      <c r="M281" s="4">
        <f>K281*100*J281</f>
        <v>0</v>
      </c>
      <c r="N281" s="4" t="str">
        <f>IF(O281="Win",M281,IF(O281="Loss",-L281,""))</f>
        <v/>
      </c>
      <c r="O281" s="4"/>
      <c r="P281" s="3"/>
      <c r="Q281" s="4">
        <f>IF(SUM(N$2:N281)="",Dashboard!B3,Dashboard!B3+SUM(N$2:N281))</f>
        <v>4972</v>
      </c>
      <c r="R281" s="3"/>
    </row>
    <row r="282" spans="1:18">
      <c r="A282" s="3"/>
      <c r="B282" s="3"/>
      <c r="C282" s="3"/>
      <c r="D282" s="3"/>
      <c r="E282" s="3"/>
      <c r="F282" s="3"/>
      <c r="G282" s="3"/>
      <c r="H282" s="3"/>
      <c r="I282" s="4"/>
      <c r="J282" s="4"/>
      <c r="K282" s="4"/>
      <c r="L282" s="4">
        <f>K282*100*I282</f>
        <v>0</v>
      </c>
      <c r="M282" s="4">
        <f>K282*100*J282</f>
        <v>0</v>
      </c>
      <c r="N282" s="4" t="str">
        <f>IF(O282="Win",M282,IF(O282="Loss",-L282,""))</f>
        <v/>
      </c>
      <c r="O282" s="4"/>
      <c r="P282" s="3"/>
      <c r="Q282" s="4">
        <f>IF(SUM(N$2:N282)="",Dashboard!B3,Dashboard!B3+SUM(N$2:N282))</f>
        <v>4972</v>
      </c>
      <c r="R282" s="3"/>
    </row>
    <row r="283" spans="1:18">
      <c r="A283" s="3"/>
      <c r="B283" s="3"/>
      <c r="C283" s="3"/>
      <c r="D283" s="3"/>
      <c r="E283" s="3"/>
      <c r="F283" s="3"/>
      <c r="G283" s="3"/>
      <c r="H283" s="3"/>
      <c r="I283" s="4"/>
      <c r="J283" s="4"/>
      <c r="K283" s="4"/>
      <c r="L283" s="4">
        <f>K283*100*I283</f>
        <v>0</v>
      </c>
      <c r="M283" s="4">
        <f>K283*100*J283</f>
        <v>0</v>
      </c>
      <c r="N283" s="4" t="str">
        <f>IF(O283="Win",M283,IF(O283="Loss",-L283,""))</f>
        <v/>
      </c>
      <c r="O283" s="4"/>
      <c r="P283" s="3"/>
      <c r="Q283" s="4">
        <f>IF(SUM(N$2:N283)="",Dashboard!B3,Dashboard!B3+SUM(N$2:N283))</f>
        <v>4972</v>
      </c>
      <c r="R283" s="3"/>
    </row>
    <row r="284" spans="1:18">
      <c r="A284" s="3"/>
      <c r="B284" s="3"/>
      <c r="C284" s="3"/>
      <c r="D284" s="3"/>
      <c r="E284" s="3"/>
      <c r="F284" s="3"/>
      <c r="G284" s="3"/>
      <c r="H284" s="3"/>
      <c r="I284" s="4"/>
      <c r="J284" s="4"/>
      <c r="K284" s="4"/>
      <c r="L284" s="4">
        <f>K284*100*I284</f>
        <v>0</v>
      </c>
      <c r="M284" s="4">
        <f>K284*100*J284</f>
        <v>0</v>
      </c>
      <c r="N284" s="4" t="str">
        <f>IF(O284="Win",M284,IF(O284="Loss",-L284,""))</f>
        <v/>
      </c>
      <c r="O284" s="4"/>
      <c r="P284" s="3"/>
      <c r="Q284" s="4">
        <f>IF(SUM(N$2:N284)="",Dashboard!B3,Dashboard!B3+SUM(N$2:N284))</f>
        <v>4972</v>
      </c>
      <c r="R284" s="3"/>
    </row>
    <row r="285" spans="1:18">
      <c r="A285" s="3"/>
      <c r="B285" s="3"/>
      <c r="C285" s="3"/>
      <c r="D285" s="3"/>
      <c r="E285" s="3"/>
      <c r="F285" s="3"/>
      <c r="G285" s="3"/>
      <c r="H285" s="3"/>
      <c r="I285" s="4"/>
      <c r="J285" s="4"/>
      <c r="K285" s="4"/>
      <c r="L285" s="4">
        <f>K285*100*I285</f>
        <v>0</v>
      </c>
      <c r="M285" s="4">
        <f>K285*100*J285</f>
        <v>0</v>
      </c>
      <c r="N285" s="4" t="str">
        <f>IF(O285="Win",M285,IF(O285="Loss",-L285,""))</f>
        <v/>
      </c>
      <c r="O285" s="4"/>
      <c r="P285" s="3"/>
      <c r="Q285" s="4">
        <f>IF(SUM(N$2:N285)="",Dashboard!B3,Dashboard!B3+SUM(N$2:N285))</f>
        <v>4972</v>
      </c>
      <c r="R285" s="3"/>
    </row>
    <row r="286" spans="1:18">
      <c r="A286" s="3"/>
      <c r="B286" s="3"/>
      <c r="C286" s="3"/>
      <c r="D286" s="3"/>
      <c r="E286" s="3"/>
      <c r="F286" s="3"/>
      <c r="G286" s="3"/>
      <c r="H286" s="3"/>
      <c r="I286" s="4"/>
      <c r="J286" s="4"/>
      <c r="K286" s="4"/>
      <c r="L286" s="4">
        <f>K286*100*I286</f>
        <v>0</v>
      </c>
      <c r="M286" s="4">
        <f>K286*100*J286</f>
        <v>0</v>
      </c>
      <c r="N286" s="4" t="str">
        <f>IF(O286="Win",M286,IF(O286="Loss",-L286,""))</f>
        <v/>
      </c>
      <c r="O286" s="4"/>
      <c r="P286" s="3"/>
      <c r="Q286" s="4">
        <f>IF(SUM(N$2:N286)="",Dashboard!B3,Dashboard!B3+SUM(N$2:N286))</f>
        <v>4972</v>
      </c>
      <c r="R286" s="3"/>
    </row>
    <row r="287" spans="1:18">
      <c r="A287" s="3"/>
      <c r="B287" s="3"/>
      <c r="C287" s="3"/>
      <c r="D287" s="3"/>
      <c r="E287" s="3"/>
      <c r="F287" s="3"/>
      <c r="G287" s="3"/>
      <c r="H287" s="3"/>
      <c r="I287" s="4"/>
      <c r="J287" s="4"/>
      <c r="K287" s="4"/>
      <c r="L287" s="4">
        <f>K287*100*I287</f>
        <v>0</v>
      </c>
      <c r="M287" s="4">
        <f>K287*100*J287</f>
        <v>0</v>
      </c>
      <c r="N287" s="4" t="str">
        <f>IF(O287="Win",M287,IF(O287="Loss",-L287,""))</f>
        <v/>
      </c>
      <c r="O287" s="4"/>
      <c r="P287" s="3"/>
      <c r="Q287" s="4">
        <f>IF(SUM(N$2:N287)="",Dashboard!B3,Dashboard!B3+SUM(N$2:N287))</f>
        <v>4972</v>
      </c>
      <c r="R287" s="3"/>
    </row>
    <row r="288" spans="1:18">
      <c r="A288" s="3"/>
      <c r="B288" s="3"/>
      <c r="C288" s="3"/>
      <c r="D288" s="3"/>
      <c r="E288" s="3"/>
      <c r="F288" s="3"/>
      <c r="G288" s="3"/>
      <c r="H288" s="3"/>
      <c r="I288" s="4"/>
      <c r="J288" s="4"/>
      <c r="K288" s="4"/>
      <c r="L288" s="4">
        <f>K288*100*I288</f>
        <v>0</v>
      </c>
      <c r="M288" s="4">
        <f>K288*100*J288</f>
        <v>0</v>
      </c>
      <c r="N288" s="4" t="str">
        <f>IF(O288="Win",M288,IF(O288="Loss",-L288,""))</f>
        <v/>
      </c>
      <c r="O288" s="4"/>
      <c r="P288" s="3"/>
      <c r="Q288" s="4">
        <f>IF(SUM(N$2:N288)="",Dashboard!B3,Dashboard!B3+SUM(N$2:N288))</f>
        <v>4972</v>
      </c>
      <c r="R288" s="3"/>
    </row>
    <row r="289" spans="1:18">
      <c r="A289" s="3"/>
      <c r="B289" s="3"/>
      <c r="C289" s="3"/>
      <c r="D289" s="3"/>
      <c r="E289" s="3"/>
      <c r="F289" s="3"/>
      <c r="G289" s="3"/>
      <c r="H289" s="3"/>
      <c r="I289" s="4"/>
      <c r="J289" s="4"/>
      <c r="K289" s="4"/>
      <c r="L289" s="4">
        <f>K289*100*I289</f>
        <v>0</v>
      </c>
      <c r="M289" s="4">
        <f>K289*100*J289</f>
        <v>0</v>
      </c>
      <c r="N289" s="4" t="str">
        <f>IF(O289="Win",M289,IF(O289="Loss",-L289,""))</f>
        <v/>
      </c>
      <c r="O289" s="4"/>
      <c r="P289" s="3"/>
      <c r="Q289" s="4">
        <f>IF(SUM(N$2:N289)="",Dashboard!B3,Dashboard!B3+SUM(N$2:N289))</f>
        <v>4972</v>
      </c>
      <c r="R289" s="3"/>
    </row>
    <row r="290" spans="1:18">
      <c r="A290" s="3"/>
      <c r="B290" s="3"/>
      <c r="C290" s="3"/>
      <c r="D290" s="3"/>
      <c r="E290" s="3"/>
      <c r="F290" s="3"/>
      <c r="G290" s="3"/>
      <c r="H290" s="3"/>
      <c r="I290" s="4"/>
      <c r="J290" s="4"/>
      <c r="K290" s="4"/>
      <c r="L290" s="4">
        <f>K290*100*I290</f>
        <v>0</v>
      </c>
      <c r="M290" s="4">
        <f>K290*100*J290</f>
        <v>0</v>
      </c>
      <c r="N290" s="4" t="str">
        <f>IF(O290="Win",M290,IF(O290="Loss",-L290,""))</f>
        <v/>
      </c>
      <c r="O290" s="4"/>
      <c r="P290" s="3"/>
      <c r="Q290" s="4">
        <f>IF(SUM(N$2:N290)="",Dashboard!B3,Dashboard!B3+SUM(N$2:N290))</f>
        <v>4972</v>
      </c>
      <c r="R290" s="3"/>
    </row>
    <row r="291" spans="1:18">
      <c r="A291" s="3"/>
      <c r="B291" s="3"/>
      <c r="C291" s="3"/>
      <c r="D291" s="3"/>
      <c r="E291" s="3"/>
      <c r="F291" s="3"/>
      <c r="G291" s="3"/>
      <c r="H291" s="3"/>
      <c r="I291" s="4"/>
      <c r="J291" s="4"/>
      <c r="K291" s="4"/>
      <c r="L291" s="4">
        <f>K291*100*I291</f>
        <v>0</v>
      </c>
      <c r="M291" s="4">
        <f>K291*100*J291</f>
        <v>0</v>
      </c>
      <c r="N291" s="4" t="str">
        <f>IF(O291="Win",M291,IF(O291="Loss",-L291,""))</f>
        <v/>
      </c>
      <c r="O291" s="4"/>
      <c r="P291" s="3"/>
      <c r="Q291" s="4">
        <f>IF(SUM(N$2:N291)="",Dashboard!B3,Dashboard!B3+SUM(N$2:N291))</f>
        <v>4972</v>
      </c>
      <c r="R291" s="3"/>
    </row>
    <row r="292" spans="1:18">
      <c r="A292" s="3"/>
      <c r="B292" s="3"/>
      <c r="C292" s="3"/>
      <c r="D292" s="3"/>
      <c r="E292" s="3"/>
      <c r="F292" s="3"/>
      <c r="G292" s="3"/>
      <c r="H292" s="3"/>
      <c r="I292" s="4"/>
      <c r="J292" s="4"/>
      <c r="K292" s="4"/>
      <c r="L292" s="4">
        <f>K292*100*I292</f>
        <v>0</v>
      </c>
      <c r="M292" s="4">
        <f>K292*100*J292</f>
        <v>0</v>
      </c>
      <c r="N292" s="4" t="str">
        <f>IF(O292="Win",M292,IF(O292="Loss",-L292,""))</f>
        <v/>
      </c>
      <c r="O292" s="4"/>
      <c r="P292" s="3"/>
      <c r="Q292" s="4">
        <f>IF(SUM(N$2:N292)="",Dashboard!B3,Dashboard!B3+SUM(N$2:N292))</f>
        <v>4972</v>
      </c>
      <c r="R292" s="3"/>
    </row>
    <row r="293" spans="1:18">
      <c r="A293" s="3"/>
      <c r="B293" s="3"/>
      <c r="C293" s="3"/>
      <c r="D293" s="3"/>
      <c r="E293" s="3"/>
      <c r="F293" s="3"/>
      <c r="G293" s="3"/>
      <c r="H293" s="3"/>
      <c r="I293" s="4"/>
      <c r="J293" s="4"/>
      <c r="K293" s="4"/>
      <c r="L293" s="4">
        <f>K293*100*I293</f>
        <v>0</v>
      </c>
      <c r="M293" s="4">
        <f>K293*100*J293</f>
        <v>0</v>
      </c>
      <c r="N293" s="4" t="str">
        <f>IF(O293="Win",M293,IF(O293="Loss",-L293,""))</f>
        <v/>
      </c>
      <c r="O293" s="4"/>
      <c r="P293" s="3"/>
      <c r="Q293" s="4">
        <f>IF(SUM(N$2:N293)="",Dashboard!B3,Dashboard!B3+SUM(N$2:N293))</f>
        <v>4972</v>
      </c>
      <c r="R293" s="3"/>
    </row>
    <row r="294" spans="1:18">
      <c r="A294" s="3"/>
      <c r="B294" s="3"/>
      <c r="C294" s="3"/>
      <c r="D294" s="3"/>
      <c r="E294" s="3"/>
      <c r="F294" s="3"/>
      <c r="G294" s="3"/>
      <c r="H294" s="3"/>
      <c r="I294" s="4"/>
      <c r="J294" s="4"/>
      <c r="K294" s="4"/>
      <c r="L294" s="4">
        <f>K294*100*I294</f>
        <v>0</v>
      </c>
      <c r="M294" s="4">
        <f>K294*100*J294</f>
        <v>0</v>
      </c>
      <c r="N294" s="4" t="str">
        <f>IF(O294="Win",M294,IF(O294="Loss",-L294,""))</f>
        <v/>
      </c>
      <c r="O294" s="4"/>
      <c r="P294" s="3"/>
      <c r="Q294" s="4">
        <f>IF(SUM(N$2:N294)="",Dashboard!B3,Dashboard!B3+SUM(N$2:N294))</f>
        <v>4972</v>
      </c>
      <c r="R294" s="3"/>
    </row>
    <row r="295" spans="1:18">
      <c r="A295" s="3"/>
      <c r="B295" s="3"/>
      <c r="C295" s="3"/>
      <c r="D295" s="3"/>
      <c r="E295" s="3"/>
      <c r="F295" s="3"/>
      <c r="G295" s="3"/>
      <c r="H295" s="3"/>
      <c r="I295" s="4"/>
      <c r="J295" s="4"/>
      <c r="K295" s="4"/>
      <c r="L295" s="4">
        <f>K295*100*I295</f>
        <v>0</v>
      </c>
      <c r="M295" s="4">
        <f>K295*100*J295</f>
        <v>0</v>
      </c>
      <c r="N295" s="4" t="str">
        <f>IF(O295="Win",M295,IF(O295="Loss",-L295,""))</f>
        <v/>
      </c>
      <c r="O295" s="4"/>
      <c r="P295" s="3"/>
      <c r="Q295" s="4">
        <f>IF(SUM(N$2:N295)="",Dashboard!B3,Dashboard!B3+SUM(N$2:N295))</f>
        <v>4972</v>
      </c>
      <c r="R295" s="3"/>
    </row>
    <row r="296" spans="1:18">
      <c r="A296" s="3"/>
      <c r="B296" s="3"/>
      <c r="C296" s="3"/>
      <c r="D296" s="3"/>
      <c r="E296" s="3"/>
      <c r="F296" s="3"/>
      <c r="G296" s="3"/>
      <c r="H296" s="3"/>
      <c r="I296" s="4"/>
      <c r="J296" s="4"/>
      <c r="K296" s="4"/>
      <c r="L296" s="4">
        <f>K296*100*I296</f>
        <v>0</v>
      </c>
      <c r="M296" s="4">
        <f>K296*100*J296</f>
        <v>0</v>
      </c>
      <c r="N296" s="4" t="str">
        <f>IF(O296="Win",M296,IF(O296="Loss",-L296,""))</f>
        <v/>
      </c>
      <c r="O296" s="4"/>
      <c r="P296" s="3"/>
      <c r="Q296" s="4">
        <f>IF(SUM(N$2:N296)="",Dashboard!B3,Dashboard!B3+SUM(N$2:N296))</f>
        <v>4972</v>
      </c>
      <c r="R296" s="3"/>
    </row>
    <row r="297" spans="1:18">
      <c r="A297" s="3"/>
      <c r="B297" s="3"/>
      <c r="C297" s="3"/>
      <c r="D297" s="3"/>
      <c r="E297" s="3"/>
      <c r="F297" s="3"/>
      <c r="G297" s="3"/>
      <c r="H297" s="3"/>
      <c r="I297" s="4"/>
      <c r="J297" s="4"/>
      <c r="K297" s="4"/>
      <c r="L297" s="4">
        <f>K297*100*I297</f>
        <v>0</v>
      </c>
      <c r="M297" s="4">
        <f>K297*100*J297</f>
        <v>0</v>
      </c>
      <c r="N297" s="4" t="str">
        <f>IF(O297="Win",M297,IF(O297="Loss",-L297,""))</f>
        <v/>
      </c>
      <c r="O297" s="4"/>
      <c r="P297" s="3"/>
      <c r="Q297" s="4">
        <f>IF(SUM(N$2:N297)="",Dashboard!B3,Dashboard!B3+SUM(N$2:N297))</f>
        <v>4972</v>
      </c>
      <c r="R297" s="3"/>
    </row>
    <row r="298" spans="1:18">
      <c r="A298" s="3"/>
      <c r="B298" s="3"/>
      <c r="C298" s="3"/>
      <c r="D298" s="3"/>
      <c r="E298" s="3"/>
      <c r="F298" s="3"/>
      <c r="G298" s="3"/>
      <c r="H298" s="3"/>
      <c r="I298" s="4"/>
      <c r="J298" s="4"/>
      <c r="K298" s="4"/>
      <c r="L298" s="4">
        <f>K298*100*I298</f>
        <v>0</v>
      </c>
      <c r="M298" s="4">
        <f>K298*100*J298</f>
        <v>0</v>
      </c>
      <c r="N298" s="4" t="str">
        <f>IF(O298="Win",M298,IF(O298="Loss",-L298,""))</f>
        <v/>
      </c>
      <c r="O298" s="4"/>
      <c r="P298" s="3"/>
      <c r="Q298" s="4">
        <f>IF(SUM(N$2:N298)="",Dashboard!B3,Dashboard!B3+SUM(N$2:N298))</f>
        <v>4972</v>
      </c>
      <c r="R298" s="3"/>
    </row>
    <row r="299" spans="1:18">
      <c r="A299" s="3"/>
      <c r="B299" s="3"/>
      <c r="C299" s="3"/>
      <c r="D299" s="3"/>
      <c r="E299" s="3"/>
      <c r="F299" s="3"/>
      <c r="G299" s="3"/>
      <c r="H299" s="3"/>
      <c r="I299" s="4"/>
      <c r="J299" s="4"/>
      <c r="K299" s="4"/>
      <c r="L299" s="4">
        <f>K299*100*I299</f>
        <v>0</v>
      </c>
      <c r="M299" s="4">
        <f>K299*100*J299</f>
        <v>0</v>
      </c>
      <c r="N299" s="4" t="str">
        <f>IF(O299="Win",M299,IF(O299="Loss",-L299,""))</f>
        <v/>
      </c>
      <c r="O299" s="4"/>
      <c r="P299" s="3"/>
      <c r="Q299" s="4">
        <f>IF(SUM(N$2:N299)="",Dashboard!B3,Dashboard!B3+SUM(N$2:N299))</f>
        <v>4972</v>
      </c>
      <c r="R299" s="3"/>
    </row>
    <row r="300" spans="1:18">
      <c r="A300" s="3"/>
      <c r="B300" s="3"/>
      <c r="C300" s="3"/>
      <c r="D300" s="3"/>
      <c r="E300" s="3"/>
      <c r="F300" s="3"/>
      <c r="G300" s="3"/>
      <c r="H300" s="3"/>
      <c r="I300" s="4"/>
      <c r="J300" s="4"/>
      <c r="K300" s="4"/>
      <c r="L300" s="4">
        <f>K300*100*I300</f>
        <v>0</v>
      </c>
      <c r="M300" s="4">
        <f>K300*100*J300</f>
        <v>0</v>
      </c>
      <c r="N300" s="4" t="str">
        <f>IF(O300="Win",M300,IF(O300="Loss",-L300,""))</f>
        <v/>
      </c>
      <c r="O300" s="4"/>
      <c r="P300" s="3"/>
      <c r="Q300" s="4">
        <f>IF(SUM(N$2:N300)="",Dashboard!B3,Dashboard!B3+SUM(N$2:N300))</f>
        <v>4972</v>
      </c>
      <c r="R300" s="3"/>
    </row>
    <row r="301" spans="1:18">
      <c r="A301" s="3"/>
      <c r="B301" s="3"/>
      <c r="C301" s="3"/>
      <c r="D301" s="3"/>
      <c r="E301" s="3"/>
      <c r="F301" s="3"/>
      <c r="G301" s="3"/>
      <c r="H301" s="3"/>
      <c r="I301" s="4"/>
      <c r="J301" s="4"/>
      <c r="K301" s="4"/>
      <c r="L301" s="4">
        <f>K301*100*I301</f>
        <v>0</v>
      </c>
      <c r="M301" s="4">
        <f>K301*100*J301</f>
        <v>0</v>
      </c>
      <c r="N301" s="4" t="str">
        <f>IF(O301="Win",M301,IF(O301="Loss",-L301,""))</f>
        <v/>
      </c>
      <c r="O301" s="4"/>
      <c r="P301" s="3"/>
      <c r="Q301" s="4">
        <f>IF(SUM(N$2:N301)="",Dashboard!B3,Dashboard!B3+SUM(N$2:N301))</f>
        <v>4972</v>
      </c>
      <c r="R301" s="3"/>
    </row>
    <row r="302" spans="1:18">
      <c r="A302" s="3"/>
      <c r="B302" s="3"/>
      <c r="C302" s="3"/>
      <c r="D302" s="3"/>
      <c r="E302" s="3"/>
      <c r="F302" s="3"/>
      <c r="G302" s="3"/>
      <c r="H302" s="3"/>
      <c r="I302" s="4"/>
      <c r="J302" s="4"/>
      <c r="K302" s="4"/>
      <c r="L302" s="4">
        <f>K302*100*I302</f>
        <v>0</v>
      </c>
      <c r="M302" s="4">
        <f>K302*100*J302</f>
        <v>0</v>
      </c>
      <c r="N302" s="4" t="str">
        <f>IF(O302="Win",M302,IF(O302="Loss",-L302,""))</f>
        <v/>
      </c>
      <c r="O302" s="4"/>
      <c r="P302" s="3"/>
      <c r="Q302" s="4">
        <f>IF(SUM(N$2:N302)="",Dashboard!B3,Dashboard!B3+SUM(N$2:N302))</f>
        <v>4972</v>
      </c>
      <c r="R302" s="3"/>
    </row>
    <row r="303" spans="1:18">
      <c r="A303" s="3"/>
      <c r="B303" s="3"/>
      <c r="C303" s="3"/>
      <c r="D303" s="3"/>
      <c r="E303" s="3"/>
      <c r="F303" s="3"/>
      <c r="G303" s="3"/>
      <c r="H303" s="3"/>
      <c r="I303" s="4"/>
      <c r="J303" s="4"/>
      <c r="K303" s="4"/>
      <c r="L303" s="4">
        <f>K303*100*I303</f>
        <v>0</v>
      </c>
      <c r="M303" s="4">
        <f>K303*100*J303</f>
        <v>0</v>
      </c>
      <c r="N303" s="4" t="str">
        <f>IF(O303="Win",M303,IF(O303="Loss",-L303,""))</f>
        <v/>
      </c>
      <c r="O303" s="4"/>
      <c r="P303" s="3"/>
      <c r="Q303" s="4">
        <f>IF(SUM(N$2:N303)="",Dashboard!B3,Dashboard!B3+SUM(N$2:N303))</f>
        <v>4972</v>
      </c>
      <c r="R303" s="3"/>
    </row>
    <row r="304" spans="1:18">
      <c r="A304" s="3"/>
      <c r="B304" s="3"/>
      <c r="C304" s="3"/>
      <c r="D304" s="3"/>
      <c r="E304" s="3"/>
      <c r="F304" s="3"/>
      <c r="G304" s="3"/>
      <c r="H304" s="3"/>
      <c r="I304" s="4"/>
      <c r="J304" s="4"/>
      <c r="K304" s="4"/>
      <c r="L304" s="4">
        <f>K304*100*I304</f>
        <v>0</v>
      </c>
      <c r="M304" s="4">
        <f>K304*100*J304</f>
        <v>0</v>
      </c>
      <c r="N304" s="4" t="str">
        <f>IF(O304="Win",M304,IF(O304="Loss",-L304,""))</f>
        <v/>
      </c>
      <c r="O304" s="4"/>
      <c r="P304" s="3"/>
      <c r="Q304" s="4">
        <f>IF(SUM(N$2:N304)="",Dashboard!B3,Dashboard!B3+SUM(N$2:N304))</f>
        <v>4972</v>
      </c>
      <c r="R304" s="3"/>
    </row>
    <row r="305" spans="1:18">
      <c r="A305" s="3"/>
      <c r="B305" s="3"/>
      <c r="C305" s="3"/>
      <c r="D305" s="3"/>
      <c r="E305" s="3"/>
      <c r="F305" s="3"/>
      <c r="G305" s="3"/>
      <c r="H305" s="3"/>
      <c r="I305" s="4"/>
      <c r="J305" s="4"/>
      <c r="K305" s="4"/>
      <c r="L305" s="4">
        <f>K305*100*I305</f>
        <v>0</v>
      </c>
      <c r="M305" s="4">
        <f>K305*100*J305</f>
        <v>0</v>
      </c>
      <c r="N305" s="4" t="str">
        <f>IF(O305="Win",M305,IF(O305="Loss",-L305,""))</f>
        <v/>
      </c>
      <c r="O305" s="4"/>
      <c r="P305" s="3"/>
      <c r="Q305" s="4">
        <f>IF(SUM(N$2:N305)="",Dashboard!B3,Dashboard!B3+SUM(N$2:N305))</f>
        <v>4972</v>
      </c>
      <c r="R305" s="3"/>
    </row>
    <row r="306" spans="1:18">
      <c r="A306" s="3"/>
      <c r="B306" s="3"/>
      <c r="C306" s="3"/>
      <c r="D306" s="3"/>
      <c r="E306" s="3"/>
      <c r="F306" s="3"/>
      <c r="G306" s="3"/>
      <c r="H306" s="3"/>
      <c r="I306" s="4"/>
      <c r="J306" s="4"/>
      <c r="K306" s="4"/>
      <c r="L306" s="4">
        <f>K306*100*I306</f>
        <v>0</v>
      </c>
      <c r="M306" s="4">
        <f>K306*100*J306</f>
        <v>0</v>
      </c>
      <c r="N306" s="4" t="str">
        <f>IF(O306="Win",M306,IF(O306="Loss",-L306,""))</f>
        <v/>
      </c>
      <c r="O306" s="4"/>
      <c r="P306" s="3"/>
      <c r="Q306" s="4">
        <f>IF(SUM(N$2:N306)="",Dashboard!B3,Dashboard!B3+SUM(N$2:N306))</f>
        <v>4972</v>
      </c>
      <c r="R306" s="3"/>
    </row>
    <row r="307" spans="1:18">
      <c r="A307" s="3"/>
      <c r="B307" s="3"/>
      <c r="C307" s="3"/>
      <c r="D307" s="3"/>
      <c r="E307" s="3"/>
      <c r="F307" s="3"/>
      <c r="G307" s="3"/>
      <c r="H307" s="3"/>
      <c r="I307" s="4"/>
      <c r="J307" s="4"/>
      <c r="K307" s="4"/>
      <c r="L307" s="4">
        <f>K307*100*I307</f>
        <v>0</v>
      </c>
      <c r="M307" s="4">
        <f>K307*100*J307</f>
        <v>0</v>
      </c>
      <c r="N307" s="4" t="str">
        <f>IF(O307="Win",M307,IF(O307="Loss",-L307,""))</f>
        <v/>
      </c>
      <c r="O307" s="4"/>
      <c r="P307" s="3"/>
      <c r="Q307" s="4">
        <f>IF(SUM(N$2:N307)="",Dashboard!B3,Dashboard!B3+SUM(N$2:N307))</f>
        <v>4972</v>
      </c>
      <c r="R307" s="3"/>
    </row>
    <row r="308" spans="1:18">
      <c r="A308" s="3"/>
      <c r="B308" s="3"/>
      <c r="C308" s="3"/>
      <c r="D308" s="3"/>
      <c r="E308" s="3"/>
      <c r="F308" s="3"/>
      <c r="G308" s="3"/>
      <c r="H308" s="3"/>
      <c r="I308" s="4"/>
      <c r="J308" s="4"/>
      <c r="K308" s="4"/>
      <c r="L308" s="4">
        <f>K308*100*I308</f>
        <v>0</v>
      </c>
      <c r="M308" s="4">
        <f>K308*100*J308</f>
        <v>0</v>
      </c>
      <c r="N308" s="4" t="str">
        <f>IF(O308="Win",M308,IF(O308="Loss",-L308,""))</f>
        <v/>
      </c>
      <c r="O308" s="4"/>
      <c r="P308" s="3"/>
      <c r="Q308" s="4">
        <f>IF(SUM(N$2:N308)="",Dashboard!B3,Dashboard!B3+SUM(N$2:N308))</f>
        <v>4972</v>
      </c>
      <c r="R308" s="3"/>
    </row>
    <row r="309" spans="1:18">
      <c r="A309" s="3"/>
      <c r="B309" s="3"/>
      <c r="C309" s="3"/>
      <c r="D309" s="3"/>
      <c r="E309" s="3"/>
      <c r="F309" s="3"/>
      <c r="G309" s="3"/>
      <c r="H309" s="3"/>
      <c r="I309" s="4"/>
      <c r="J309" s="4"/>
      <c r="K309" s="4"/>
      <c r="L309" s="4">
        <f>K309*100*I309</f>
        <v>0</v>
      </c>
      <c r="M309" s="4">
        <f>K309*100*J309</f>
        <v>0</v>
      </c>
      <c r="N309" s="4" t="str">
        <f>IF(O309="Win",M309,IF(O309="Loss",-L309,""))</f>
        <v/>
      </c>
      <c r="O309" s="4"/>
      <c r="P309" s="3"/>
      <c r="Q309" s="4">
        <f>IF(SUM(N$2:N309)="",Dashboard!B3,Dashboard!B3+SUM(N$2:N309))</f>
        <v>4972</v>
      </c>
      <c r="R309" s="3"/>
    </row>
    <row r="310" spans="1:18">
      <c r="A310" s="3"/>
      <c r="B310" s="3"/>
      <c r="C310" s="3"/>
      <c r="D310" s="3"/>
      <c r="E310" s="3"/>
      <c r="F310" s="3"/>
      <c r="G310" s="3"/>
      <c r="H310" s="3"/>
      <c r="I310" s="4"/>
      <c r="J310" s="4"/>
      <c r="K310" s="4"/>
      <c r="L310" s="4">
        <f>K310*100*I310</f>
        <v>0</v>
      </c>
      <c r="M310" s="4">
        <f>K310*100*J310</f>
        <v>0</v>
      </c>
      <c r="N310" s="4" t="str">
        <f>IF(O310="Win",M310,IF(O310="Loss",-L310,""))</f>
        <v/>
      </c>
      <c r="O310" s="4"/>
      <c r="P310" s="3"/>
      <c r="Q310" s="4">
        <f>IF(SUM(N$2:N310)="",Dashboard!B3,Dashboard!B3+SUM(N$2:N310))</f>
        <v>4972</v>
      </c>
      <c r="R310" s="3"/>
    </row>
    <row r="311" spans="1:18">
      <c r="A311" s="3"/>
      <c r="B311" s="3"/>
      <c r="C311" s="3"/>
      <c r="D311" s="3"/>
      <c r="E311" s="3"/>
      <c r="F311" s="3"/>
      <c r="G311" s="3"/>
      <c r="H311" s="3"/>
      <c r="I311" s="4"/>
      <c r="J311" s="4"/>
      <c r="K311" s="4"/>
      <c r="L311" s="4">
        <f>K311*100*I311</f>
        <v>0</v>
      </c>
      <c r="M311" s="4">
        <f>K311*100*J311</f>
        <v>0</v>
      </c>
      <c r="N311" s="4" t="str">
        <f>IF(O311="Win",M311,IF(O311="Loss",-L311,""))</f>
        <v/>
      </c>
      <c r="O311" s="4"/>
      <c r="P311" s="3"/>
      <c r="Q311" s="4">
        <f>IF(SUM(N$2:N311)="",Dashboard!B3,Dashboard!B3+SUM(N$2:N311))</f>
        <v>4972</v>
      </c>
      <c r="R311" s="3"/>
    </row>
    <row r="312" spans="1:18">
      <c r="A312" s="3"/>
      <c r="B312" s="3"/>
      <c r="C312" s="3"/>
      <c r="D312" s="3"/>
      <c r="E312" s="3"/>
      <c r="F312" s="3"/>
      <c r="G312" s="3"/>
      <c r="H312" s="3"/>
      <c r="I312" s="4"/>
      <c r="J312" s="4"/>
      <c r="K312" s="4"/>
      <c r="L312" s="4">
        <f>K312*100*I312</f>
        <v>0</v>
      </c>
      <c r="M312" s="4">
        <f>K312*100*J312</f>
        <v>0</v>
      </c>
      <c r="N312" s="4" t="str">
        <f>IF(O312="Win",M312,IF(O312="Loss",-L312,""))</f>
        <v/>
      </c>
      <c r="O312" s="4"/>
      <c r="P312" s="3"/>
      <c r="Q312" s="4">
        <f>IF(SUM(N$2:N312)="",Dashboard!B3,Dashboard!B3+SUM(N$2:N312))</f>
        <v>4972</v>
      </c>
      <c r="R312" s="3"/>
    </row>
    <row r="313" spans="1:18">
      <c r="A313" s="3"/>
      <c r="B313" s="3"/>
      <c r="C313" s="3"/>
      <c r="D313" s="3"/>
      <c r="E313" s="3"/>
      <c r="F313" s="3"/>
      <c r="G313" s="3"/>
      <c r="H313" s="3"/>
      <c r="I313" s="4"/>
      <c r="J313" s="4"/>
      <c r="K313" s="4"/>
      <c r="L313" s="4">
        <f>K313*100*I313</f>
        <v>0</v>
      </c>
      <c r="M313" s="4">
        <f>K313*100*J313</f>
        <v>0</v>
      </c>
      <c r="N313" s="4" t="str">
        <f>IF(O313="Win",M313,IF(O313="Loss",-L313,""))</f>
        <v/>
      </c>
      <c r="O313" s="4"/>
      <c r="P313" s="3"/>
      <c r="Q313" s="4">
        <f>IF(SUM(N$2:N313)="",Dashboard!B3,Dashboard!B3+SUM(N$2:N313))</f>
        <v>4972</v>
      </c>
      <c r="R313" s="3"/>
    </row>
    <row r="314" spans="1:18">
      <c r="A314" s="3"/>
      <c r="B314" s="3"/>
      <c r="C314" s="3"/>
      <c r="D314" s="3"/>
      <c r="E314" s="3"/>
      <c r="F314" s="3"/>
      <c r="G314" s="3"/>
      <c r="H314" s="3"/>
      <c r="I314" s="4"/>
      <c r="J314" s="4"/>
      <c r="K314" s="4"/>
      <c r="L314" s="4">
        <f>K314*100*I314</f>
        <v>0</v>
      </c>
      <c r="M314" s="4">
        <f>K314*100*J314</f>
        <v>0</v>
      </c>
      <c r="N314" s="4" t="str">
        <f>IF(O314="Win",M314,IF(O314="Loss",-L314,""))</f>
        <v/>
      </c>
      <c r="O314" s="4"/>
      <c r="P314" s="3"/>
      <c r="Q314" s="4">
        <f>IF(SUM(N$2:N314)="",Dashboard!B3,Dashboard!B3+SUM(N$2:N314))</f>
        <v>4972</v>
      </c>
      <c r="R314" s="3"/>
    </row>
    <row r="315" spans="1:18">
      <c r="A315" s="3"/>
      <c r="B315" s="3"/>
      <c r="C315" s="3"/>
      <c r="D315" s="3"/>
      <c r="E315" s="3"/>
      <c r="F315" s="3"/>
      <c r="G315" s="3"/>
      <c r="H315" s="3"/>
      <c r="I315" s="4"/>
      <c r="J315" s="4"/>
      <c r="K315" s="4"/>
      <c r="L315" s="4">
        <f>K315*100*I315</f>
        <v>0</v>
      </c>
      <c r="M315" s="4">
        <f>K315*100*J315</f>
        <v>0</v>
      </c>
      <c r="N315" s="4" t="str">
        <f>IF(O315="Win",M315,IF(O315="Loss",-L315,""))</f>
        <v/>
      </c>
      <c r="O315" s="4"/>
      <c r="P315" s="3"/>
      <c r="Q315" s="4">
        <f>IF(SUM(N$2:N315)="",Dashboard!B3,Dashboard!B3+SUM(N$2:N315))</f>
        <v>4972</v>
      </c>
      <c r="R315" s="3"/>
    </row>
    <row r="316" spans="1:18">
      <c r="A316" s="3"/>
      <c r="B316" s="3"/>
      <c r="C316" s="3"/>
      <c r="D316" s="3"/>
      <c r="E316" s="3"/>
      <c r="F316" s="3"/>
      <c r="G316" s="3"/>
      <c r="H316" s="3"/>
      <c r="I316" s="4"/>
      <c r="J316" s="4"/>
      <c r="K316" s="4"/>
      <c r="L316" s="4">
        <f>K316*100*I316</f>
        <v>0</v>
      </c>
      <c r="M316" s="4">
        <f>K316*100*J316</f>
        <v>0</v>
      </c>
      <c r="N316" s="4" t="str">
        <f>IF(O316="Win",M316,IF(O316="Loss",-L316,""))</f>
        <v/>
      </c>
      <c r="O316" s="4"/>
      <c r="P316" s="3"/>
      <c r="Q316" s="4">
        <f>IF(SUM(N$2:N316)="",Dashboard!B3,Dashboard!B3+SUM(N$2:N316))</f>
        <v>4972</v>
      </c>
      <c r="R316" s="3"/>
    </row>
    <row r="317" spans="1:18">
      <c r="A317" s="3"/>
      <c r="B317" s="3"/>
      <c r="C317" s="3"/>
      <c r="D317" s="3"/>
      <c r="E317" s="3"/>
      <c r="F317" s="3"/>
      <c r="G317" s="3"/>
      <c r="H317" s="3"/>
      <c r="I317" s="4"/>
      <c r="J317" s="4"/>
      <c r="K317" s="4"/>
      <c r="L317" s="4">
        <f>K317*100*I317</f>
        <v>0</v>
      </c>
      <c r="M317" s="4">
        <f>K317*100*J317</f>
        <v>0</v>
      </c>
      <c r="N317" s="4" t="str">
        <f>IF(O317="Win",M317,IF(O317="Loss",-L317,""))</f>
        <v/>
      </c>
      <c r="O317" s="4"/>
      <c r="P317" s="3"/>
      <c r="Q317" s="4">
        <f>IF(SUM(N$2:N317)="",Dashboard!B3,Dashboard!B3+SUM(N$2:N317))</f>
        <v>4972</v>
      </c>
      <c r="R317" s="3"/>
    </row>
    <row r="318" spans="1:18">
      <c r="A318" s="3"/>
      <c r="B318" s="3"/>
      <c r="C318" s="3"/>
      <c r="D318" s="3"/>
      <c r="E318" s="3"/>
      <c r="F318" s="3"/>
      <c r="G318" s="3"/>
      <c r="H318" s="3"/>
      <c r="I318" s="4"/>
      <c r="J318" s="4"/>
      <c r="K318" s="4"/>
      <c r="L318" s="4">
        <f>K318*100*I318</f>
        <v>0</v>
      </c>
      <c r="M318" s="4">
        <f>K318*100*J318</f>
        <v>0</v>
      </c>
      <c r="N318" s="4" t="str">
        <f>IF(O318="Win",M318,IF(O318="Loss",-L318,""))</f>
        <v/>
      </c>
      <c r="O318" s="4"/>
      <c r="P318" s="3"/>
      <c r="Q318" s="4">
        <f>IF(SUM(N$2:N318)="",Dashboard!B3,Dashboard!B3+SUM(N$2:N318))</f>
        <v>4972</v>
      </c>
      <c r="R318" s="3"/>
    </row>
    <row r="319" spans="1:18">
      <c r="A319" s="3"/>
      <c r="B319" s="3"/>
      <c r="C319" s="3"/>
      <c r="D319" s="3"/>
      <c r="E319" s="3"/>
      <c r="F319" s="3"/>
      <c r="G319" s="3"/>
      <c r="H319" s="3"/>
      <c r="I319" s="4"/>
      <c r="J319" s="4"/>
      <c r="K319" s="4"/>
      <c r="L319" s="4">
        <f>K319*100*I319</f>
        <v>0</v>
      </c>
      <c r="M319" s="4">
        <f>K319*100*J319</f>
        <v>0</v>
      </c>
      <c r="N319" s="4" t="str">
        <f>IF(O319="Win",M319,IF(O319="Loss",-L319,""))</f>
        <v/>
      </c>
      <c r="O319" s="4"/>
      <c r="P319" s="3"/>
      <c r="Q319" s="4">
        <f>IF(SUM(N$2:N319)="",Dashboard!B3,Dashboard!B3+SUM(N$2:N319))</f>
        <v>4972</v>
      </c>
      <c r="R319" s="3"/>
    </row>
    <row r="320" spans="1:18">
      <c r="A320" s="3"/>
      <c r="B320" s="3"/>
      <c r="C320" s="3"/>
      <c r="D320" s="3"/>
      <c r="E320" s="3"/>
      <c r="F320" s="3"/>
      <c r="G320" s="3"/>
      <c r="H320" s="3"/>
      <c r="I320" s="4"/>
      <c r="J320" s="4"/>
      <c r="K320" s="4"/>
      <c r="L320" s="4">
        <f>K320*100*I320</f>
        <v>0</v>
      </c>
      <c r="M320" s="4">
        <f>K320*100*J320</f>
        <v>0</v>
      </c>
      <c r="N320" s="4" t="str">
        <f>IF(O320="Win",M320,IF(O320="Loss",-L320,""))</f>
        <v/>
      </c>
      <c r="O320" s="4"/>
      <c r="P320" s="3"/>
      <c r="Q320" s="4">
        <f>IF(SUM(N$2:N320)="",Dashboard!B3,Dashboard!B3+SUM(N$2:N320))</f>
        <v>4972</v>
      </c>
      <c r="R320" s="3"/>
    </row>
    <row r="321" spans="1:18">
      <c r="A321" s="3"/>
      <c r="B321" s="3"/>
      <c r="C321" s="3"/>
      <c r="D321" s="3"/>
      <c r="E321" s="3"/>
      <c r="F321" s="3"/>
      <c r="G321" s="3"/>
      <c r="H321" s="3"/>
      <c r="I321" s="4"/>
      <c r="J321" s="4"/>
      <c r="K321" s="4"/>
      <c r="L321" s="4">
        <f>K321*100*I321</f>
        <v>0</v>
      </c>
      <c r="M321" s="4">
        <f>K321*100*J321</f>
        <v>0</v>
      </c>
      <c r="N321" s="4" t="str">
        <f>IF(O321="Win",M321,IF(O321="Loss",-L321,""))</f>
        <v/>
      </c>
      <c r="O321" s="4"/>
      <c r="P321" s="3"/>
      <c r="Q321" s="4">
        <f>IF(SUM(N$2:N321)="",Dashboard!B3,Dashboard!B3+SUM(N$2:N321))</f>
        <v>4972</v>
      </c>
      <c r="R321" s="3"/>
    </row>
    <row r="322" spans="1:18">
      <c r="A322" s="3"/>
      <c r="B322" s="3"/>
      <c r="C322" s="3"/>
      <c r="D322" s="3"/>
      <c r="E322" s="3"/>
      <c r="F322" s="3"/>
      <c r="G322" s="3"/>
      <c r="H322" s="3"/>
      <c r="I322" s="4"/>
      <c r="J322" s="4"/>
      <c r="K322" s="4"/>
      <c r="L322" s="4">
        <f>K322*100*I322</f>
        <v>0</v>
      </c>
      <c r="M322" s="4">
        <f>K322*100*J322</f>
        <v>0</v>
      </c>
      <c r="N322" s="4" t="str">
        <f>IF(O322="Win",M322,IF(O322="Loss",-L322,""))</f>
        <v/>
      </c>
      <c r="O322" s="4"/>
      <c r="P322" s="3"/>
      <c r="Q322" s="4">
        <f>IF(SUM(N$2:N322)="",Dashboard!B3,Dashboard!B3+SUM(N$2:N322))</f>
        <v>4972</v>
      </c>
      <c r="R322" s="3"/>
    </row>
    <row r="323" spans="1:18">
      <c r="A323" s="3"/>
      <c r="B323" s="3"/>
      <c r="C323" s="3"/>
      <c r="D323" s="3"/>
      <c r="E323" s="3"/>
      <c r="F323" s="3"/>
      <c r="G323" s="3"/>
      <c r="H323" s="3"/>
      <c r="I323" s="4"/>
      <c r="J323" s="4"/>
      <c r="K323" s="4"/>
      <c r="L323" s="4">
        <f>K323*100*I323</f>
        <v>0</v>
      </c>
      <c r="M323" s="4">
        <f>K323*100*J323</f>
        <v>0</v>
      </c>
      <c r="N323" s="4" t="str">
        <f>IF(O323="Win",M323,IF(O323="Loss",-L323,""))</f>
        <v/>
      </c>
      <c r="O323" s="4"/>
      <c r="P323" s="3"/>
      <c r="Q323" s="4">
        <f>IF(SUM(N$2:N323)="",Dashboard!B3,Dashboard!B3+SUM(N$2:N323))</f>
        <v>4972</v>
      </c>
      <c r="R323" s="3"/>
    </row>
    <row r="324" spans="1:18">
      <c r="A324" s="3"/>
      <c r="B324" s="3"/>
      <c r="C324" s="3"/>
      <c r="D324" s="3"/>
      <c r="E324" s="3"/>
      <c r="F324" s="3"/>
      <c r="G324" s="3"/>
      <c r="H324" s="3"/>
      <c r="I324" s="4"/>
      <c r="J324" s="4"/>
      <c r="K324" s="4"/>
      <c r="L324" s="4">
        <f>K324*100*I324</f>
        <v>0</v>
      </c>
      <c r="M324" s="4">
        <f>K324*100*J324</f>
        <v>0</v>
      </c>
      <c r="N324" s="4" t="str">
        <f>IF(O324="Win",M324,IF(O324="Loss",-L324,""))</f>
        <v/>
      </c>
      <c r="O324" s="4"/>
      <c r="P324" s="3"/>
      <c r="Q324" s="4">
        <f>IF(SUM(N$2:N324)="",Dashboard!B3,Dashboard!B3+SUM(N$2:N324))</f>
        <v>4972</v>
      </c>
      <c r="R324" s="3"/>
    </row>
    <row r="325" spans="1:18">
      <c r="A325" s="3"/>
      <c r="B325" s="3"/>
      <c r="C325" s="3"/>
      <c r="D325" s="3"/>
      <c r="E325" s="3"/>
      <c r="F325" s="3"/>
      <c r="G325" s="3"/>
      <c r="H325" s="3"/>
      <c r="I325" s="4"/>
      <c r="J325" s="4"/>
      <c r="K325" s="4"/>
      <c r="L325" s="4">
        <f>K325*100*I325</f>
        <v>0</v>
      </c>
      <c r="M325" s="4">
        <f>K325*100*J325</f>
        <v>0</v>
      </c>
      <c r="N325" s="4" t="str">
        <f>IF(O325="Win",M325,IF(O325="Loss",-L325,""))</f>
        <v/>
      </c>
      <c r="O325" s="4"/>
      <c r="P325" s="3"/>
      <c r="Q325" s="4">
        <f>IF(SUM(N$2:N325)="",Dashboard!B3,Dashboard!B3+SUM(N$2:N325))</f>
        <v>4972</v>
      </c>
      <c r="R325" s="3"/>
    </row>
    <row r="326" spans="1:18">
      <c r="A326" s="3"/>
      <c r="B326" s="3"/>
      <c r="C326" s="3"/>
      <c r="D326" s="3"/>
      <c r="E326" s="3"/>
      <c r="F326" s="3"/>
      <c r="G326" s="3"/>
      <c r="H326" s="3"/>
      <c r="I326" s="4"/>
      <c r="J326" s="4"/>
      <c r="K326" s="4"/>
      <c r="L326" s="4">
        <f>K326*100*I326</f>
        <v>0</v>
      </c>
      <c r="M326" s="4">
        <f>K326*100*J326</f>
        <v>0</v>
      </c>
      <c r="N326" s="4" t="str">
        <f>IF(O326="Win",M326,IF(O326="Loss",-L326,""))</f>
        <v/>
      </c>
      <c r="O326" s="4"/>
      <c r="P326" s="3"/>
      <c r="Q326" s="4">
        <f>IF(SUM(N$2:N326)="",Dashboard!B3,Dashboard!B3+SUM(N$2:N326))</f>
        <v>4972</v>
      </c>
      <c r="R326" s="3"/>
    </row>
    <row r="327" spans="1:18">
      <c r="A327" s="3"/>
      <c r="B327" s="3"/>
      <c r="C327" s="3"/>
      <c r="D327" s="3"/>
      <c r="E327" s="3"/>
      <c r="F327" s="3"/>
      <c r="G327" s="3"/>
      <c r="H327" s="3"/>
      <c r="I327" s="4"/>
      <c r="J327" s="4"/>
      <c r="K327" s="4"/>
      <c r="L327" s="4">
        <f>K327*100*I327</f>
        <v>0</v>
      </c>
      <c r="M327" s="4">
        <f>K327*100*J327</f>
        <v>0</v>
      </c>
      <c r="N327" s="4" t="str">
        <f>IF(O327="Win",M327,IF(O327="Loss",-L327,""))</f>
        <v/>
      </c>
      <c r="O327" s="4"/>
      <c r="P327" s="3"/>
      <c r="Q327" s="4">
        <f>IF(SUM(N$2:N327)="",Dashboard!B3,Dashboard!B3+SUM(N$2:N327))</f>
        <v>4972</v>
      </c>
      <c r="R327" s="3"/>
    </row>
    <row r="328" spans="1:18">
      <c r="A328" s="3"/>
      <c r="B328" s="3"/>
      <c r="C328" s="3"/>
      <c r="D328" s="3"/>
      <c r="E328" s="3"/>
      <c r="F328" s="3"/>
      <c r="G328" s="3"/>
      <c r="H328" s="3"/>
      <c r="I328" s="4"/>
      <c r="J328" s="4"/>
      <c r="K328" s="4"/>
      <c r="L328" s="4">
        <f>K328*100*I328</f>
        <v>0</v>
      </c>
      <c r="M328" s="4">
        <f>K328*100*J328</f>
        <v>0</v>
      </c>
      <c r="N328" s="4" t="str">
        <f>IF(O328="Win",M328,IF(O328="Loss",-L328,""))</f>
        <v/>
      </c>
      <c r="O328" s="4"/>
      <c r="P328" s="3"/>
      <c r="Q328" s="4">
        <f>IF(SUM(N$2:N328)="",Dashboard!B3,Dashboard!B3+SUM(N$2:N328))</f>
        <v>4972</v>
      </c>
      <c r="R328" s="3"/>
    </row>
    <row r="329" spans="1:18">
      <c r="A329" s="3"/>
      <c r="B329" s="3"/>
      <c r="C329" s="3"/>
      <c r="D329" s="3"/>
      <c r="E329" s="3"/>
      <c r="F329" s="3"/>
      <c r="G329" s="3"/>
      <c r="H329" s="3"/>
      <c r="I329" s="4"/>
      <c r="J329" s="4"/>
      <c r="K329" s="4"/>
      <c r="L329" s="4">
        <f>K329*100*I329</f>
        <v>0</v>
      </c>
      <c r="M329" s="4">
        <f>K329*100*J329</f>
        <v>0</v>
      </c>
      <c r="N329" s="4" t="str">
        <f>IF(O329="Win",M329,IF(O329="Loss",-L329,""))</f>
        <v/>
      </c>
      <c r="O329" s="4"/>
      <c r="P329" s="3"/>
      <c r="Q329" s="4">
        <f>IF(SUM(N$2:N329)="",Dashboard!B3,Dashboard!B3+SUM(N$2:N329))</f>
        <v>4972</v>
      </c>
      <c r="R329" s="3"/>
    </row>
    <row r="330" spans="1:18">
      <c r="A330" s="3"/>
      <c r="B330" s="3"/>
      <c r="C330" s="3"/>
      <c r="D330" s="3"/>
      <c r="E330" s="3"/>
      <c r="F330" s="3"/>
      <c r="G330" s="3"/>
      <c r="H330" s="3"/>
      <c r="I330" s="4"/>
      <c r="J330" s="4"/>
      <c r="K330" s="4"/>
      <c r="L330" s="4">
        <f>K330*100*I330</f>
        <v>0</v>
      </c>
      <c r="M330" s="4">
        <f>K330*100*J330</f>
        <v>0</v>
      </c>
      <c r="N330" s="4" t="str">
        <f>IF(O330="Win",M330,IF(O330="Loss",-L330,""))</f>
        <v/>
      </c>
      <c r="O330" s="4"/>
      <c r="P330" s="3"/>
      <c r="Q330" s="4">
        <f>IF(SUM(N$2:N330)="",Dashboard!B3,Dashboard!B3+SUM(N$2:N330))</f>
        <v>4972</v>
      </c>
      <c r="R330" s="3"/>
    </row>
    <row r="331" spans="1:18">
      <c r="A331" s="3"/>
      <c r="B331" s="3"/>
      <c r="C331" s="3"/>
      <c r="D331" s="3"/>
      <c r="E331" s="3"/>
      <c r="F331" s="3"/>
      <c r="G331" s="3"/>
      <c r="H331" s="3"/>
      <c r="I331" s="4"/>
      <c r="J331" s="4"/>
      <c r="K331" s="4"/>
      <c r="L331" s="4">
        <f>K331*100*I331</f>
        <v>0</v>
      </c>
      <c r="M331" s="4">
        <f>K331*100*J331</f>
        <v>0</v>
      </c>
      <c r="N331" s="4" t="str">
        <f>IF(O331="Win",M331,IF(O331="Loss",-L331,""))</f>
        <v/>
      </c>
      <c r="O331" s="4"/>
      <c r="P331" s="3"/>
      <c r="Q331" s="4">
        <f>IF(SUM(N$2:N331)="",Dashboard!B3,Dashboard!B3+SUM(N$2:N331))</f>
        <v>4972</v>
      </c>
      <c r="R331" s="3"/>
    </row>
    <row r="332" spans="1:18">
      <c r="A332" s="3"/>
      <c r="B332" s="3"/>
      <c r="C332" s="3"/>
      <c r="D332" s="3"/>
      <c r="E332" s="3"/>
      <c r="F332" s="3"/>
      <c r="G332" s="3"/>
      <c r="H332" s="3"/>
      <c r="I332" s="4"/>
      <c r="J332" s="4"/>
      <c r="K332" s="4"/>
      <c r="L332" s="4">
        <f>K332*100*I332</f>
        <v>0</v>
      </c>
      <c r="M332" s="4">
        <f>K332*100*J332</f>
        <v>0</v>
      </c>
      <c r="N332" s="4" t="str">
        <f>IF(O332="Win",M332,IF(O332="Loss",-L332,""))</f>
        <v/>
      </c>
      <c r="O332" s="4"/>
      <c r="P332" s="3"/>
      <c r="Q332" s="4">
        <f>IF(SUM(N$2:N332)="",Dashboard!B3,Dashboard!B3+SUM(N$2:N332))</f>
        <v>4972</v>
      </c>
      <c r="R332" s="3"/>
    </row>
    <row r="333" spans="1:18">
      <c r="A333" s="3"/>
      <c r="B333" s="3"/>
      <c r="C333" s="3"/>
      <c r="D333" s="3"/>
      <c r="E333" s="3"/>
      <c r="F333" s="3"/>
      <c r="G333" s="3"/>
      <c r="H333" s="3"/>
      <c r="I333" s="4"/>
      <c r="J333" s="4"/>
      <c r="K333" s="4"/>
      <c r="L333" s="4">
        <f>K333*100*I333</f>
        <v>0</v>
      </c>
      <c r="M333" s="4">
        <f>K333*100*J333</f>
        <v>0</v>
      </c>
      <c r="N333" s="4" t="str">
        <f>IF(O333="Win",M333,IF(O333="Loss",-L333,""))</f>
        <v/>
      </c>
      <c r="O333" s="4"/>
      <c r="P333" s="3"/>
      <c r="Q333" s="4">
        <f>IF(SUM(N$2:N333)="",Dashboard!B3,Dashboard!B3+SUM(N$2:N333))</f>
        <v>4972</v>
      </c>
      <c r="R333" s="3"/>
    </row>
    <row r="334" spans="1:18">
      <c r="A334" s="3"/>
      <c r="B334" s="3"/>
      <c r="C334" s="3"/>
      <c r="D334" s="3"/>
      <c r="E334" s="3"/>
      <c r="F334" s="3"/>
      <c r="G334" s="3"/>
      <c r="H334" s="3"/>
      <c r="I334" s="4"/>
      <c r="J334" s="4"/>
      <c r="K334" s="4"/>
      <c r="L334" s="4">
        <f>K334*100*I334</f>
        <v>0</v>
      </c>
      <c r="M334" s="4">
        <f>K334*100*J334</f>
        <v>0</v>
      </c>
      <c r="N334" s="4" t="str">
        <f>IF(O334="Win",M334,IF(O334="Loss",-L334,""))</f>
        <v/>
      </c>
      <c r="O334" s="4"/>
      <c r="P334" s="3"/>
      <c r="Q334" s="4">
        <f>IF(SUM(N$2:N334)="",Dashboard!B3,Dashboard!B3+SUM(N$2:N334))</f>
        <v>4972</v>
      </c>
      <c r="R334" s="3"/>
    </row>
    <row r="335" spans="1:18">
      <c r="A335" s="3"/>
      <c r="B335" s="3"/>
      <c r="C335" s="3"/>
      <c r="D335" s="3"/>
      <c r="E335" s="3"/>
      <c r="F335" s="3"/>
      <c r="G335" s="3"/>
      <c r="H335" s="3"/>
      <c r="I335" s="4"/>
      <c r="J335" s="4"/>
      <c r="K335" s="4"/>
      <c r="L335" s="4">
        <f>K335*100*I335</f>
        <v>0</v>
      </c>
      <c r="M335" s="4">
        <f>K335*100*J335</f>
        <v>0</v>
      </c>
      <c r="N335" s="4" t="str">
        <f>IF(O335="Win",M335,IF(O335="Loss",-L335,""))</f>
        <v/>
      </c>
      <c r="O335" s="4"/>
      <c r="P335" s="3"/>
      <c r="Q335" s="4">
        <f>IF(SUM(N$2:N335)="",Dashboard!B3,Dashboard!B3+SUM(N$2:N335))</f>
        <v>4972</v>
      </c>
      <c r="R335" s="3"/>
    </row>
    <row r="336" spans="1:18">
      <c r="A336" s="3"/>
      <c r="B336" s="3"/>
      <c r="C336" s="3"/>
      <c r="D336" s="3"/>
      <c r="E336" s="3"/>
      <c r="F336" s="3"/>
      <c r="G336" s="3"/>
      <c r="H336" s="3"/>
      <c r="I336" s="4"/>
      <c r="J336" s="4"/>
      <c r="K336" s="4"/>
      <c r="L336" s="4">
        <f>K336*100*I336</f>
        <v>0</v>
      </c>
      <c r="M336" s="4">
        <f>K336*100*J336</f>
        <v>0</v>
      </c>
      <c r="N336" s="4" t="str">
        <f>IF(O336="Win",M336,IF(O336="Loss",-L336,""))</f>
        <v/>
      </c>
      <c r="O336" s="4"/>
      <c r="P336" s="3"/>
      <c r="Q336" s="4">
        <f>IF(SUM(N$2:N336)="",Dashboard!B3,Dashboard!B3+SUM(N$2:N336))</f>
        <v>4972</v>
      </c>
      <c r="R336" s="3"/>
    </row>
    <row r="337" spans="1:18">
      <c r="A337" s="3"/>
      <c r="B337" s="3"/>
      <c r="C337" s="3"/>
      <c r="D337" s="3"/>
      <c r="E337" s="3"/>
      <c r="F337" s="3"/>
      <c r="G337" s="3"/>
      <c r="H337" s="3"/>
      <c r="I337" s="4"/>
      <c r="J337" s="4"/>
      <c r="K337" s="4"/>
      <c r="L337" s="4">
        <f>K337*100*I337</f>
        <v>0</v>
      </c>
      <c r="M337" s="4">
        <f>K337*100*J337</f>
        <v>0</v>
      </c>
      <c r="N337" s="4" t="str">
        <f>IF(O337="Win",M337,IF(O337="Loss",-L337,""))</f>
        <v/>
      </c>
      <c r="O337" s="4"/>
      <c r="P337" s="3"/>
      <c r="Q337" s="4">
        <f>IF(SUM(N$2:N337)="",Dashboard!B3,Dashboard!B3+SUM(N$2:N337))</f>
        <v>4972</v>
      </c>
      <c r="R337" s="3"/>
    </row>
    <row r="338" spans="1:18">
      <c r="A338" s="3"/>
      <c r="B338" s="3"/>
      <c r="C338" s="3"/>
      <c r="D338" s="3"/>
      <c r="E338" s="3"/>
      <c r="F338" s="3"/>
      <c r="G338" s="3"/>
      <c r="H338" s="3"/>
      <c r="I338" s="4"/>
      <c r="J338" s="4"/>
      <c r="K338" s="4"/>
      <c r="L338" s="4">
        <f>K338*100*I338</f>
        <v>0</v>
      </c>
      <c r="M338" s="4">
        <f>K338*100*J338</f>
        <v>0</v>
      </c>
      <c r="N338" s="4" t="str">
        <f>IF(O338="Win",M338,IF(O338="Loss",-L338,""))</f>
        <v/>
      </c>
      <c r="O338" s="4"/>
      <c r="P338" s="3"/>
      <c r="Q338" s="4">
        <f>IF(SUM(N$2:N338)="",Dashboard!B3,Dashboard!B3+SUM(N$2:N338))</f>
        <v>4972</v>
      </c>
      <c r="R338" s="3"/>
    </row>
    <row r="339" spans="1:18">
      <c r="A339" s="3"/>
      <c r="B339" s="3"/>
      <c r="C339" s="3"/>
      <c r="D339" s="3"/>
      <c r="E339" s="3"/>
      <c r="F339" s="3"/>
      <c r="G339" s="3"/>
      <c r="H339" s="3"/>
      <c r="I339" s="4"/>
      <c r="J339" s="4"/>
      <c r="K339" s="4"/>
      <c r="L339" s="4">
        <f>K339*100*I339</f>
        <v>0</v>
      </c>
      <c r="M339" s="4">
        <f>K339*100*J339</f>
        <v>0</v>
      </c>
      <c r="N339" s="4" t="str">
        <f>IF(O339="Win",M339,IF(O339="Loss",-L339,""))</f>
        <v/>
      </c>
      <c r="O339" s="4"/>
      <c r="P339" s="3"/>
      <c r="Q339" s="4">
        <f>IF(SUM(N$2:N339)="",Dashboard!B3,Dashboard!B3+SUM(N$2:N339))</f>
        <v>4972</v>
      </c>
      <c r="R339" s="3"/>
    </row>
    <row r="340" spans="1:18">
      <c r="A340" s="3"/>
      <c r="B340" s="3"/>
      <c r="C340" s="3"/>
      <c r="D340" s="3"/>
      <c r="E340" s="3"/>
      <c r="F340" s="3"/>
      <c r="G340" s="3"/>
      <c r="H340" s="3"/>
      <c r="I340" s="4"/>
      <c r="J340" s="4"/>
      <c r="K340" s="4"/>
      <c r="L340" s="4">
        <f>K340*100*I340</f>
        <v>0</v>
      </c>
      <c r="M340" s="4">
        <f>K340*100*J340</f>
        <v>0</v>
      </c>
      <c r="N340" s="4" t="str">
        <f>IF(O340="Win",M340,IF(O340="Loss",-L340,""))</f>
        <v/>
      </c>
      <c r="O340" s="4"/>
      <c r="P340" s="3"/>
      <c r="Q340" s="4">
        <f>IF(SUM(N$2:N340)="",Dashboard!B3,Dashboard!B3+SUM(N$2:N340))</f>
        <v>4972</v>
      </c>
      <c r="R340" s="3"/>
    </row>
    <row r="341" spans="1:18">
      <c r="A341" s="3"/>
      <c r="B341" s="3"/>
      <c r="C341" s="3"/>
      <c r="D341" s="3"/>
      <c r="E341" s="3"/>
      <c r="F341" s="3"/>
      <c r="G341" s="3"/>
      <c r="H341" s="3"/>
      <c r="I341" s="4"/>
      <c r="J341" s="4"/>
      <c r="K341" s="4"/>
      <c r="L341" s="4">
        <f>K341*100*I341</f>
        <v>0</v>
      </c>
      <c r="M341" s="4">
        <f>K341*100*J341</f>
        <v>0</v>
      </c>
      <c r="N341" s="4" t="str">
        <f>IF(O341="Win",M341,IF(O341="Loss",-L341,""))</f>
        <v/>
      </c>
      <c r="O341" s="4"/>
      <c r="P341" s="3"/>
      <c r="Q341" s="4">
        <f>IF(SUM(N$2:N341)="",Dashboard!B3,Dashboard!B3+SUM(N$2:N341))</f>
        <v>4972</v>
      </c>
      <c r="R341" s="3"/>
    </row>
    <row r="342" spans="1:18">
      <c r="A342" s="3"/>
      <c r="B342" s="3"/>
      <c r="C342" s="3"/>
      <c r="D342" s="3"/>
      <c r="E342" s="3"/>
      <c r="F342" s="3"/>
      <c r="G342" s="3"/>
      <c r="H342" s="3"/>
      <c r="I342" s="4"/>
      <c r="J342" s="4"/>
      <c r="K342" s="4"/>
      <c r="L342" s="4">
        <f>K342*100*I342</f>
        <v>0</v>
      </c>
      <c r="M342" s="4">
        <f>K342*100*J342</f>
        <v>0</v>
      </c>
      <c r="N342" s="4" t="str">
        <f>IF(O342="Win",M342,IF(O342="Loss",-L342,""))</f>
        <v/>
      </c>
      <c r="O342" s="4"/>
      <c r="P342" s="3"/>
      <c r="Q342" s="4">
        <f>IF(SUM(N$2:N342)="",Dashboard!B3,Dashboard!B3+SUM(N$2:N342))</f>
        <v>4972</v>
      </c>
      <c r="R342" s="3"/>
    </row>
    <row r="343" spans="1:18">
      <c r="A343" s="3"/>
      <c r="B343" s="3"/>
      <c r="C343" s="3"/>
      <c r="D343" s="3"/>
      <c r="E343" s="3"/>
      <c r="F343" s="3"/>
      <c r="G343" s="3"/>
      <c r="H343" s="3"/>
      <c r="I343" s="4"/>
      <c r="J343" s="4"/>
      <c r="K343" s="4"/>
      <c r="L343" s="4">
        <f>K343*100*I343</f>
        <v>0</v>
      </c>
      <c r="M343" s="4">
        <f>K343*100*J343</f>
        <v>0</v>
      </c>
      <c r="N343" s="4" t="str">
        <f>IF(O343="Win",M343,IF(O343="Loss",-L343,""))</f>
        <v/>
      </c>
      <c r="O343" s="4"/>
      <c r="P343" s="3"/>
      <c r="Q343" s="4">
        <f>IF(SUM(N$2:N343)="",Dashboard!B3,Dashboard!B3+SUM(N$2:N343))</f>
        <v>4972</v>
      </c>
      <c r="R343" s="3"/>
    </row>
    <row r="344" spans="1:18">
      <c r="A344" s="3"/>
      <c r="B344" s="3"/>
      <c r="C344" s="3"/>
      <c r="D344" s="3"/>
      <c r="E344" s="3"/>
      <c r="F344" s="3"/>
      <c r="G344" s="3"/>
      <c r="H344" s="3"/>
      <c r="I344" s="4"/>
      <c r="J344" s="4"/>
      <c r="K344" s="4"/>
      <c r="L344" s="4">
        <f>K344*100*I344</f>
        <v>0</v>
      </c>
      <c r="M344" s="4">
        <f>K344*100*J344</f>
        <v>0</v>
      </c>
      <c r="N344" s="4" t="str">
        <f>IF(O344="Win",M344,IF(O344="Loss",-L344,""))</f>
        <v/>
      </c>
      <c r="O344" s="4"/>
      <c r="P344" s="3"/>
      <c r="Q344" s="4">
        <f>IF(SUM(N$2:N344)="",Dashboard!B3,Dashboard!B3+SUM(N$2:N344))</f>
        <v>4972</v>
      </c>
      <c r="R344" s="3"/>
    </row>
    <row r="345" spans="1:18">
      <c r="A345" s="3"/>
      <c r="B345" s="3"/>
      <c r="C345" s="3"/>
      <c r="D345" s="3"/>
      <c r="E345" s="3"/>
      <c r="F345" s="3"/>
      <c r="G345" s="3"/>
      <c r="H345" s="3"/>
      <c r="I345" s="4"/>
      <c r="J345" s="4"/>
      <c r="K345" s="4"/>
      <c r="L345" s="4">
        <f>K345*100*I345</f>
        <v>0</v>
      </c>
      <c r="M345" s="4">
        <f>K345*100*J345</f>
        <v>0</v>
      </c>
      <c r="N345" s="4" t="str">
        <f>IF(O345="Win",M345,IF(O345="Loss",-L345,""))</f>
        <v/>
      </c>
      <c r="O345" s="4"/>
      <c r="P345" s="3"/>
      <c r="Q345" s="4">
        <f>IF(SUM(N$2:N345)="",Dashboard!B3,Dashboard!B3+SUM(N$2:N345))</f>
        <v>4972</v>
      </c>
      <c r="R345" s="3"/>
    </row>
    <row r="346" spans="1:18">
      <c r="A346" s="3"/>
      <c r="B346" s="3"/>
      <c r="C346" s="3"/>
      <c r="D346" s="3"/>
      <c r="E346" s="3"/>
      <c r="F346" s="3"/>
      <c r="G346" s="3"/>
      <c r="H346" s="3"/>
      <c r="I346" s="4"/>
      <c r="J346" s="4"/>
      <c r="K346" s="4"/>
      <c r="L346" s="4">
        <f>K346*100*I346</f>
        <v>0</v>
      </c>
      <c r="M346" s="4">
        <f>K346*100*J346</f>
        <v>0</v>
      </c>
      <c r="N346" s="4" t="str">
        <f>IF(O346="Win",M346,IF(O346="Loss",-L346,""))</f>
        <v/>
      </c>
      <c r="O346" s="4"/>
      <c r="P346" s="3"/>
      <c r="Q346" s="4">
        <f>IF(SUM(N$2:N346)="",Dashboard!B3,Dashboard!B3+SUM(N$2:N346))</f>
        <v>4972</v>
      </c>
      <c r="R346" s="3"/>
    </row>
    <row r="347" spans="1:18">
      <c r="A347" s="3"/>
      <c r="B347" s="3"/>
      <c r="C347" s="3"/>
      <c r="D347" s="3"/>
      <c r="E347" s="3"/>
      <c r="F347" s="3"/>
      <c r="G347" s="3"/>
      <c r="H347" s="3"/>
      <c r="I347" s="4"/>
      <c r="J347" s="4"/>
      <c r="K347" s="4"/>
      <c r="L347" s="4">
        <f>K347*100*I347</f>
        <v>0</v>
      </c>
      <c r="M347" s="4">
        <f>K347*100*J347</f>
        <v>0</v>
      </c>
      <c r="N347" s="4" t="str">
        <f>IF(O347="Win",M347,IF(O347="Loss",-L347,""))</f>
        <v/>
      </c>
      <c r="O347" s="4"/>
      <c r="P347" s="3"/>
      <c r="Q347" s="4">
        <f>IF(SUM(N$2:N347)="",Dashboard!B3,Dashboard!B3+SUM(N$2:N347))</f>
        <v>4972</v>
      </c>
      <c r="R347" s="3"/>
    </row>
    <row r="348" spans="1:18">
      <c r="A348" s="3"/>
      <c r="B348" s="3"/>
      <c r="C348" s="3"/>
      <c r="D348" s="3"/>
      <c r="E348" s="3"/>
      <c r="F348" s="3"/>
      <c r="G348" s="3"/>
      <c r="H348" s="3"/>
      <c r="I348" s="4"/>
      <c r="J348" s="4"/>
      <c r="K348" s="4"/>
      <c r="L348" s="4">
        <f>K348*100*I348</f>
        <v>0</v>
      </c>
      <c r="M348" s="4">
        <f>K348*100*J348</f>
        <v>0</v>
      </c>
      <c r="N348" s="4" t="str">
        <f>IF(O348="Win",M348,IF(O348="Loss",-L348,""))</f>
        <v/>
      </c>
      <c r="O348" s="4"/>
      <c r="P348" s="3"/>
      <c r="Q348" s="4">
        <f>IF(SUM(N$2:N348)="",Dashboard!B3,Dashboard!B3+SUM(N$2:N348))</f>
        <v>4972</v>
      </c>
      <c r="R348" s="3"/>
    </row>
    <row r="349" spans="1:18">
      <c r="A349" s="3"/>
      <c r="B349" s="3"/>
      <c r="C349" s="3"/>
      <c r="D349" s="3"/>
      <c r="E349" s="3"/>
      <c r="F349" s="3"/>
      <c r="G349" s="3"/>
      <c r="H349" s="3"/>
      <c r="I349" s="4"/>
      <c r="J349" s="4"/>
      <c r="K349" s="4"/>
      <c r="L349" s="4">
        <f>K349*100*I349</f>
        <v>0</v>
      </c>
      <c r="M349" s="4">
        <f>K349*100*J349</f>
        <v>0</v>
      </c>
      <c r="N349" s="4" t="str">
        <f>IF(O349="Win",M349,IF(O349="Loss",-L349,""))</f>
        <v/>
      </c>
      <c r="O349" s="4"/>
      <c r="P349" s="3"/>
      <c r="Q349" s="4">
        <f>IF(SUM(N$2:N349)="",Dashboard!B3,Dashboard!B3+SUM(N$2:N349))</f>
        <v>4972</v>
      </c>
      <c r="R349" s="3"/>
    </row>
    <row r="350" spans="1:18">
      <c r="A350" s="3"/>
      <c r="B350" s="3"/>
      <c r="C350" s="3"/>
      <c r="D350" s="3"/>
      <c r="E350" s="3"/>
      <c r="F350" s="3"/>
      <c r="G350" s="3"/>
      <c r="H350" s="3"/>
      <c r="I350" s="4"/>
      <c r="J350" s="4"/>
      <c r="K350" s="4"/>
      <c r="L350" s="4">
        <f>K350*100*I350</f>
        <v>0</v>
      </c>
      <c r="M350" s="4">
        <f>K350*100*J350</f>
        <v>0</v>
      </c>
      <c r="N350" s="4" t="str">
        <f>IF(O350="Win",M350,IF(O350="Loss",-L350,""))</f>
        <v/>
      </c>
      <c r="O350" s="4"/>
      <c r="P350" s="3"/>
      <c r="Q350" s="4">
        <f>IF(SUM(N$2:N350)="",Dashboard!B3,Dashboard!B3+SUM(N$2:N350))</f>
        <v>4972</v>
      </c>
      <c r="R350" s="3"/>
    </row>
    <row r="351" spans="1:18">
      <c r="A351" s="3"/>
      <c r="B351" s="3"/>
      <c r="C351" s="3"/>
      <c r="D351" s="3"/>
      <c r="E351" s="3"/>
      <c r="F351" s="3"/>
      <c r="G351" s="3"/>
      <c r="H351" s="3"/>
      <c r="I351" s="4"/>
      <c r="J351" s="4"/>
      <c r="K351" s="4"/>
      <c r="L351" s="4">
        <f>K351*100*I351</f>
        <v>0</v>
      </c>
      <c r="M351" s="4">
        <f>K351*100*J351</f>
        <v>0</v>
      </c>
      <c r="N351" s="4" t="str">
        <f>IF(O351="Win",M351,IF(O351="Loss",-L351,""))</f>
        <v/>
      </c>
      <c r="O351" s="4"/>
      <c r="P351" s="3"/>
      <c r="Q351" s="4">
        <f>IF(SUM(N$2:N351)="",Dashboard!B3,Dashboard!B3+SUM(N$2:N351))</f>
        <v>4972</v>
      </c>
      <c r="R351" s="3"/>
    </row>
    <row r="352" spans="1:18">
      <c r="A352" s="3"/>
      <c r="B352" s="3"/>
      <c r="C352" s="3"/>
      <c r="D352" s="3"/>
      <c r="E352" s="3"/>
      <c r="F352" s="3"/>
      <c r="G352" s="3"/>
      <c r="H352" s="3"/>
      <c r="I352" s="4"/>
      <c r="J352" s="4"/>
      <c r="K352" s="4"/>
      <c r="L352" s="4">
        <f>K352*100*I352</f>
        <v>0</v>
      </c>
      <c r="M352" s="4">
        <f>K352*100*J352</f>
        <v>0</v>
      </c>
      <c r="N352" s="4" t="str">
        <f>IF(O352="Win",M352,IF(O352="Loss",-L352,""))</f>
        <v/>
      </c>
      <c r="O352" s="4"/>
      <c r="P352" s="3"/>
      <c r="Q352" s="4">
        <f>IF(SUM(N$2:N352)="",Dashboard!B3,Dashboard!B3+SUM(N$2:N352))</f>
        <v>4972</v>
      </c>
      <c r="R352" s="3"/>
    </row>
    <row r="353" spans="1:18">
      <c r="A353" s="3"/>
      <c r="B353" s="3"/>
      <c r="C353" s="3"/>
      <c r="D353" s="3"/>
      <c r="E353" s="3"/>
      <c r="F353" s="3"/>
      <c r="G353" s="3"/>
      <c r="H353" s="3"/>
      <c r="I353" s="4"/>
      <c r="J353" s="4"/>
      <c r="K353" s="4"/>
      <c r="L353" s="4">
        <f>K353*100*I353</f>
        <v>0</v>
      </c>
      <c r="M353" s="4">
        <f>K353*100*J353</f>
        <v>0</v>
      </c>
      <c r="N353" s="4" t="str">
        <f>IF(O353="Win",M353,IF(O353="Loss",-L353,""))</f>
        <v/>
      </c>
      <c r="O353" s="4"/>
      <c r="P353" s="3"/>
      <c r="Q353" s="4">
        <f>IF(SUM(N$2:N353)="",Dashboard!B3,Dashboard!B3+SUM(N$2:N353))</f>
        <v>4972</v>
      </c>
      <c r="R353" s="3"/>
    </row>
    <row r="354" spans="1:18">
      <c r="A354" s="3"/>
      <c r="B354" s="3"/>
      <c r="C354" s="3"/>
      <c r="D354" s="3"/>
      <c r="E354" s="3"/>
      <c r="F354" s="3"/>
      <c r="G354" s="3"/>
      <c r="H354" s="3"/>
      <c r="I354" s="4"/>
      <c r="J354" s="4"/>
      <c r="K354" s="4"/>
      <c r="L354" s="4">
        <f>K354*100*I354</f>
        <v>0</v>
      </c>
      <c r="M354" s="4">
        <f>K354*100*J354</f>
        <v>0</v>
      </c>
      <c r="N354" s="4" t="str">
        <f>IF(O354="Win",M354,IF(O354="Loss",-L354,""))</f>
        <v/>
      </c>
      <c r="O354" s="4"/>
      <c r="P354" s="3"/>
      <c r="Q354" s="4">
        <f>IF(SUM(N$2:N354)="",Dashboard!B3,Dashboard!B3+SUM(N$2:N354))</f>
        <v>4972</v>
      </c>
      <c r="R354" s="3"/>
    </row>
    <row r="355" spans="1:18">
      <c r="A355" s="3"/>
      <c r="B355" s="3"/>
      <c r="C355" s="3"/>
      <c r="D355" s="3"/>
      <c r="E355" s="3"/>
      <c r="F355" s="3"/>
      <c r="G355" s="3"/>
      <c r="H355" s="3"/>
      <c r="I355" s="4"/>
      <c r="J355" s="4"/>
      <c r="K355" s="4"/>
      <c r="L355" s="4">
        <f>K355*100*I355</f>
        <v>0</v>
      </c>
      <c r="M355" s="4">
        <f>K355*100*J355</f>
        <v>0</v>
      </c>
      <c r="N355" s="4" t="str">
        <f>IF(O355="Win",M355,IF(O355="Loss",-L355,""))</f>
        <v/>
      </c>
      <c r="O355" s="4"/>
      <c r="P355" s="3"/>
      <c r="Q355" s="4">
        <f>IF(SUM(N$2:N355)="",Dashboard!B3,Dashboard!B3+SUM(N$2:N355))</f>
        <v>4972</v>
      </c>
      <c r="R355" s="3"/>
    </row>
    <row r="356" spans="1:18">
      <c r="A356" s="3"/>
      <c r="B356" s="3"/>
      <c r="C356" s="3"/>
      <c r="D356" s="3"/>
      <c r="E356" s="3"/>
      <c r="F356" s="3"/>
      <c r="G356" s="3"/>
      <c r="H356" s="3"/>
      <c r="I356" s="4"/>
      <c r="J356" s="4"/>
      <c r="K356" s="4"/>
      <c r="L356" s="4">
        <f>K356*100*I356</f>
        <v>0</v>
      </c>
      <c r="M356" s="4">
        <f>K356*100*J356</f>
        <v>0</v>
      </c>
      <c r="N356" s="4" t="str">
        <f>IF(O356="Win",M356,IF(O356="Loss",-L356,""))</f>
        <v/>
      </c>
      <c r="O356" s="4"/>
      <c r="P356" s="3"/>
      <c r="Q356" s="4">
        <f>IF(SUM(N$2:N356)="",Dashboard!B3,Dashboard!B3+SUM(N$2:N356))</f>
        <v>4972</v>
      </c>
      <c r="R356" s="3"/>
    </row>
    <row r="357" spans="1:18">
      <c r="A357" s="3"/>
      <c r="B357" s="3"/>
      <c r="C357" s="3"/>
      <c r="D357" s="3"/>
      <c r="E357" s="3"/>
      <c r="F357" s="3"/>
      <c r="G357" s="3"/>
      <c r="H357" s="3"/>
      <c r="I357" s="4"/>
      <c r="J357" s="4"/>
      <c r="K357" s="4"/>
      <c r="L357" s="4">
        <f>K357*100*I357</f>
        <v>0</v>
      </c>
      <c r="M357" s="4">
        <f>K357*100*J357</f>
        <v>0</v>
      </c>
      <c r="N357" s="4" t="str">
        <f>IF(O357="Win",M357,IF(O357="Loss",-L357,""))</f>
        <v/>
      </c>
      <c r="O357" s="4"/>
      <c r="P357" s="3"/>
      <c r="Q357" s="4">
        <f>IF(SUM(N$2:N357)="",Dashboard!B3,Dashboard!B3+SUM(N$2:N357))</f>
        <v>4972</v>
      </c>
      <c r="R357" s="3"/>
    </row>
    <row r="358" spans="1:18">
      <c r="A358" s="3"/>
      <c r="B358" s="3"/>
      <c r="C358" s="3"/>
      <c r="D358" s="3"/>
      <c r="E358" s="3"/>
      <c r="F358" s="3"/>
      <c r="G358" s="3"/>
      <c r="H358" s="3"/>
      <c r="I358" s="4"/>
      <c r="J358" s="4"/>
      <c r="K358" s="4"/>
      <c r="L358" s="4">
        <f>K358*100*I358</f>
        <v>0</v>
      </c>
      <c r="M358" s="4">
        <f>K358*100*J358</f>
        <v>0</v>
      </c>
      <c r="N358" s="4" t="str">
        <f>IF(O358="Win",M358,IF(O358="Loss",-L358,""))</f>
        <v/>
      </c>
      <c r="O358" s="4"/>
      <c r="P358" s="3"/>
      <c r="Q358" s="4">
        <f>IF(SUM(N$2:N358)="",Dashboard!B3,Dashboard!B3+SUM(N$2:N358))</f>
        <v>4972</v>
      </c>
      <c r="R358" s="3"/>
    </row>
    <row r="359" spans="1:18">
      <c r="A359" s="3"/>
      <c r="B359" s="3"/>
      <c r="C359" s="3"/>
      <c r="D359" s="3"/>
      <c r="E359" s="3"/>
      <c r="F359" s="3"/>
      <c r="G359" s="3"/>
      <c r="H359" s="3"/>
      <c r="I359" s="4"/>
      <c r="J359" s="4"/>
      <c r="K359" s="4"/>
      <c r="L359" s="4">
        <f>K359*100*I359</f>
        <v>0</v>
      </c>
      <c r="M359" s="4">
        <f>K359*100*J359</f>
        <v>0</v>
      </c>
      <c r="N359" s="4" t="str">
        <f>IF(O359="Win",M359,IF(O359="Loss",-L359,""))</f>
        <v/>
      </c>
      <c r="O359" s="4"/>
      <c r="P359" s="3"/>
      <c r="Q359" s="4">
        <f>IF(SUM(N$2:N359)="",Dashboard!B3,Dashboard!B3+SUM(N$2:N359))</f>
        <v>4972</v>
      </c>
      <c r="R359" s="3"/>
    </row>
    <row r="360" spans="1:18">
      <c r="A360" s="3"/>
      <c r="B360" s="3"/>
      <c r="C360" s="3"/>
      <c r="D360" s="3"/>
      <c r="E360" s="3"/>
      <c r="F360" s="3"/>
      <c r="G360" s="3"/>
      <c r="H360" s="3"/>
      <c r="I360" s="4"/>
      <c r="J360" s="4"/>
      <c r="K360" s="4"/>
      <c r="L360" s="4">
        <f>K360*100*I360</f>
        <v>0</v>
      </c>
      <c r="M360" s="4">
        <f>K360*100*J360</f>
        <v>0</v>
      </c>
      <c r="N360" s="4" t="str">
        <f>IF(O360="Win",M360,IF(O360="Loss",-L360,""))</f>
        <v/>
      </c>
      <c r="O360" s="4"/>
      <c r="P360" s="3"/>
      <c r="Q360" s="4">
        <f>IF(SUM(N$2:N360)="",Dashboard!B3,Dashboard!B3+SUM(N$2:N360))</f>
        <v>4972</v>
      </c>
      <c r="R360" s="3"/>
    </row>
    <row r="361" spans="1:18">
      <c r="A361" s="3"/>
      <c r="B361" s="3"/>
      <c r="C361" s="3"/>
      <c r="D361" s="3"/>
      <c r="E361" s="3"/>
      <c r="F361" s="3"/>
      <c r="G361" s="3"/>
      <c r="H361" s="3"/>
      <c r="I361" s="4"/>
      <c r="J361" s="4"/>
      <c r="K361" s="4"/>
      <c r="L361" s="4">
        <f>K361*100*I361</f>
        <v>0</v>
      </c>
      <c r="M361" s="4">
        <f>K361*100*J361</f>
        <v>0</v>
      </c>
      <c r="N361" s="4" t="str">
        <f>IF(O361="Win",M361,IF(O361="Loss",-L361,""))</f>
        <v/>
      </c>
      <c r="O361" s="4"/>
      <c r="P361" s="3"/>
      <c r="Q361" s="4">
        <f>IF(SUM(N$2:N361)="",Dashboard!B3,Dashboard!B3+SUM(N$2:N361))</f>
        <v>4972</v>
      </c>
      <c r="R361" s="3"/>
    </row>
    <row r="362" spans="1:18">
      <c r="A362" s="3"/>
      <c r="B362" s="3"/>
      <c r="C362" s="3"/>
      <c r="D362" s="3"/>
      <c r="E362" s="3"/>
      <c r="F362" s="3"/>
      <c r="G362" s="3"/>
      <c r="H362" s="3"/>
      <c r="I362" s="4"/>
      <c r="J362" s="4"/>
      <c r="K362" s="4"/>
      <c r="L362" s="4">
        <f>K362*100*I362</f>
        <v>0</v>
      </c>
      <c r="M362" s="4">
        <f>K362*100*J362</f>
        <v>0</v>
      </c>
      <c r="N362" s="4" t="str">
        <f>IF(O362="Win",M362,IF(O362="Loss",-L362,""))</f>
        <v/>
      </c>
      <c r="O362" s="4"/>
      <c r="P362" s="3"/>
      <c r="Q362" s="4">
        <f>IF(SUM(N$2:N362)="",Dashboard!B3,Dashboard!B3+SUM(N$2:N362))</f>
        <v>4972</v>
      </c>
      <c r="R362" s="3"/>
    </row>
    <row r="363" spans="1:18">
      <c r="A363" s="3"/>
      <c r="B363" s="3"/>
      <c r="C363" s="3"/>
      <c r="D363" s="3"/>
      <c r="E363" s="3"/>
      <c r="F363" s="3"/>
      <c r="G363" s="3"/>
      <c r="H363" s="3"/>
      <c r="I363" s="4"/>
      <c r="J363" s="4"/>
      <c r="K363" s="4"/>
      <c r="L363" s="4">
        <f>K363*100*I363</f>
        <v>0</v>
      </c>
      <c r="M363" s="4">
        <f>K363*100*J363</f>
        <v>0</v>
      </c>
      <c r="N363" s="4" t="str">
        <f>IF(O363="Win",M363,IF(O363="Loss",-L363,""))</f>
        <v/>
      </c>
      <c r="O363" s="4"/>
      <c r="P363" s="3"/>
      <c r="Q363" s="4">
        <f>IF(SUM(N$2:N363)="",Dashboard!B3,Dashboard!B3+SUM(N$2:N363))</f>
        <v>4972</v>
      </c>
      <c r="R363" s="3"/>
    </row>
    <row r="364" spans="1:18">
      <c r="A364" s="3"/>
      <c r="B364" s="3"/>
      <c r="C364" s="3"/>
      <c r="D364" s="3"/>
      <c r="E364" s="3"/>
      <c r="F364" s="3"/>
      <c r="G364" s="3"/>
      <c r="H364" s="3"/>
      <c r="I364" s="4"/>
      <c r="J364" s="4"/>
      <c r="K364" s="4"/>
      <c r="L364" s="4">
        <f>K364*100*I364</f>
        <v>0</v>
      </c>
      <c r="M364" s="4">
        <f>K364*100*J364</f>
        <v>0</v>
      </c>
      <c r="N364" s="4" t="str">
        <f>IF(O364="Win",M364,IF(O364="Loss",-L364,""))</f>
        <v/>
      </c>
      <c r="O364" s="4"/>
      <c r="P364" s="3"/>
      <c r="Q364" s="4">
        <f>IF(SUM(N$2:N364)="",Dashboard!B3,Dashboard!B3+SUM(N$2:N364))</f>
        <v>4972</v>
      </c>
      <c r="R364" s="3"/>
    </row>
    <row r="365" spans="1:18">
      <c r="A365" s="3"/>
      <c r="B365" s="3"/>
      <c r="C365" s="3"/>
      <c r="D365" s="3"/>
      <c r="E365" s="3"/>
      <c r="F365" s="3"/>
      <c r="G365" s="3"/>
      <c r="H365" s="3"/>
      <c r="I365" s="4"/>
      <c r="J365" s="4"/>
      <c r="K365" s="4"/>
      <c r="L365" s="4">
        <f>K365*100*I365</f>
        <v>0</v>
      </c>
      <c r="M365" s="4">
        <f>K365*100*J365</f>
        <v>0</v>
      </c>
      <c r="N365" s="4" t="str">
        <f>IF(O365="Win",M365,IF(O365="Loss",-L365,""))</f>
        <v/>
      </c>
      <c r="O365" s="4"/>
      <c r="P365" s="3"/>
      <c r="Q365" s="4">
        <f>IF(SUM(N$2:N365)="",Dashboard!B3,Dashboard!B3+SUM(N$2:N365))</f>
        <v>4972</v>
      </c>
      <c r="R365" s="3"/>
    </row>
    <row r="366" spans="1:18">
      <c r="A366" s="3"/>
      <c r="B366" s="3"/>
      <c r="C366" s="3"/>
      <c r="D366" s="3"/>
      <c r="E366" s="3"/>
      <c r="F366" s="3"/>
      <c r="G366" s="3"/>
      <c r="H366" s="3"/>
      <c r="I366" s="4"/>
      <c r="J366" s="4"/>
      <c r="K366" s="4"/>
      <c r="L366" s="4">
        <f>K366*100*I366</f>
        <v>0</v>
      </c>
      <c r="M366" s="4">
        <f>K366*100*J366</f>
        <v>0</v>
      </c>
      <c r="N366" s="4" t="str">
        <f>IF(O366="Win",M366,IF(O366="Loss",-L366,""))</f>
        <v/>
      </c>
      <c r="O366" s="4"/>
      <c r="P366" s="3"/>
      <c r="Q366" s="4">
        <f>IF(SUM(N$2:N366)="",Dashboard!B3,Dashboard!B3+SUM(N$2:N366))</f>
        <v>4972</v>
      </c>
      <c r="R366" s="3"/>
    </row>
    <row r="367" spans="1:18">
      <c r="A367" s="3"/>
      <c r="B367" s="3"/>
      <c r="C367" s="3"/>
      <c r="D367" s="3"/>
      <c r="E367" s="3"/>
      <c r="F367" s="3"/>
      <c r="G367" s="3"/>
      <c r="H367" s="3"/>
      <c r="I367" s="4"/>
      <c r="J367" s="4"/>
      <c r="K367" s="4"/>
      <c r="L367" s="4">
        <f>K367*100*I367</f>
        <v>0</v>
      </c>
      <c r="M367" s="4">
        <f>K367*100*J367</f>
        <v>0</v>
      </c>
      <c r="N367" s="4" t="str">
        <f>IF(O367="Win",M367,IF(O367="Loss",-L367,""))</f>
        <v/>
      </c>
      <c r="O367" s="4"/>
      <c r="P367" s="3"/>
      <c r="Q367" s="4">
        <f>IF(SUM(N$2:N367)="",Dashboard!B3,Dashboard!B3+SUM(N$2:N367))</f>
        <v>4972</v>
      </c>
      <c r="R367" s="3"/>
    </row>
    <row r="368" spans="1:18">
      <c r="A368" s="3"/>
      <c r="B368" s="3"/>
      <c r="C368" s="3"/>
      <c r="D368" s="3"/>
      <c r="E368" s="3"/>
      <c r="F368" s="3"/>
      <c r="G368" s="3"/>
      <c r="H368" s="3"/>
      <c r="I368" s="4"/>
      <c r="J368" s="4"/>
      <c r="K368" s="4"/>
      <c r="L368" s="4">
        <f>K368*100*I368</f>
        <v>0</v>
      </c>
      <c r="M368" s="4">
        <f>K368*100*J368</f>
        <v>0</v>
      </c>
      <c r="N368" s="4" t="str">
        <f>IF(O368="Win",M368,IF(O368="Loss",-L368,""))</f>
        <v/>
      </c>
      <c r="O368" s="4"/>
      <c r="P368" s="3"/>
      <c r="Q368" s="4">
        <f>IF(SUM(N$2:N368)="",Dashboard!B3,Dashboard!B3+SUM(N$2:N368))</f>
        <v>4972</v>
      </c>
      <c r="R368" s="3"/>
    </row>
    <row r="369" spans="1:18">
      <c r="A369" s="3"/>
      <c r="B369" s="3"/>
      <c r="C369" s="3"/>
      <c r="D369" s="3"/>
      <c r="E369" s="3"/>
      <c r="F369" s="3"/>
      <c r="G369" s="3"/>
      <c r="H369" s="3"/>
      <c r="I369" s="4"/>
      <c r="J369" s="4"/>
      <c r="K369" s="4"/>
      <c r="L369" s="4">
        <f>K369*100*I369</f>
        <v>0</v>
      </c>
      <c r="M369" s="4">
        <f>K369*100*J369</f>
        <v>0</v>
      </c>
      <c r="N369" s="4" t="str">
        <f>IF(O369="Win",M369,IF(O369="Loss",-L369,""))</f>
        <v/>
      </c>
      <c r="O369" s="4"/>
      <c r="P369" s="3"/>
      <c r="Q369" s="4">
        <f>IF(SUM(N$2:N369)="",Dashboard!B3,Dashboard!B3+SUM(N$2:N369))</f>
        <v>4972</v>
      </c>
      <c r="R369" s="3"/>
    </row>
    <row r="370" spans="1:18">
      <c r="A370" s="3"/>
      <c r="B370" s="3"/>
      <c r="C370" s="3"/>
      <c r="D370" s="3"/>
      <c r="E370" s="3"/>
      <c r="F370" s="3"/>
      <c r="G370" s="3"/>
      <c r="H370" s="3"/>
      <c r="I370" s="4"/>
      <c r="J370" s="4"/>
      <c r="K370" s="4"/>
      <c r="L370" s="4">
        <f>K370*100*I370</f>
        <v>0</v>
      </c>
      <c r="M370" s="4">
        <f>K370*100*J370</f>
        <v>0</v>
      </c>
      <c r="N370" s="4" t="str">
        <f>IF(O370="Win",M370,IF(O370="Loss",-L370,""))</f>
        <v/>
      </c>
      <c r="O370" s="4"/>
      <c r="P370" s="3"/>
      <c r="Q370" s="4">
        <f>IF(SUM(N$2:N370)="",Dashboard!B3,Dashboard!B3+SUM(N$2:N370))</f>
        <v>4972</v>
      </c>
      <c r="R370" s="3"/>
    </row>
    <row r="371" spans="1:18">
      <c r="A371" s="3"/>
      <c r="B371" s="3"/>
      <c r="C371" s="3"/>
      <c r="D371" s="3"/>
      <c r="E371" s="3"/>
      <c r="F371" s="3"/>
      <c r="G371" s="3"/>
      <c r="H371" s="3"/>
      <c r="I371" s="4"/>
      <c r="J371" s="4"/>
      <c r="K371" s="4"/>
      <c r="L371" s="4">
        <f>K371*100*I371</f>
        <v>0</v>
      </c>
      <c r="M371" s="4">
        <f>K371*100*J371</f>
        <v>0</v>
      </c>
      <c r="N371" s="4" t="str">
        <f>IF(O371="Win",M371,IF(O371="Loss",-L371,""))</f>
        <v/>
      </c>
      <c r="O371" s="4"/>
      <c r="P371" s="3"/>
      <c r="Q371" s="4">
        <f>IF(SUM(N$2:N371)="",Dashboard!B3,Dashboard!B3+SUM(N$2:N371))</f>
        <v>4972</v>
      </c>
      <c r="R371" s="3"/>
    </row>
    <row r="372" spans="1:18">
      <c r="A372" s="3"/>
      <c r="B372" s="3"/>
      <c r="C372" s="3"/>
      <c r="D372" s="3"/>
      <c r="E372" s="3"/>
      <c r="F372" s="3"/>
      <c r="G372" s="3"/>
      <c r="H372" s="3"/>
      <c r="I372" s="4"/>
      <c r="J372" s="4"/>
      <c r="K372" s="4"/>
      <c r="L372" s="4">
        <f>K372*100*I372</f>
        <v>0</v>
      </c>
      <c r="M372" s="4">
        <f>K372*100*J372</f>
        <v>0</v>
      </c>
      <c r="N372" s="4" t="str">
        <f>IF(O372="Win",M372,IF(O372="Loss",-L372,""))</f>
        <v/>
      </c>
      <c r="O372" s="4"/>
      <c r="P372" s="3"/>
      <c r="Q372" s="4">
        <f>IF(SUM(N$2:N372)="",Dashboard!B3,Dashboard!B3+SUM(N$2:N372))</f>
        <v>4972</v>
      </c>
      <c r="R372" s="3"/>
    </row>
    <row r="373" spans="1:18">
      <c r="A373" s="3"/>
      <c r="B373" s="3"/>
      <c r="C373" s="3"/>
      <c r="D373" s="3"/>
      <c r="E373" s="3"/>
      <c r="F373" s="3"/>
      <c r="G373" s="3"/>
      <c r="H373" s="3"/>
      <c r="I373" s="4"/>
      <c r="J373" s="4"/>
      <c r="K373" s="4"/>
      <c r="L373" s="4">
        <f>K373*100*I373</f>
        <v>0</v>
      </c>
      <c r="M373" s="4">
        <f>K373*100*J373</f>
        <v>0</v>
      </c>
      <c r="N373" s="4" t="str">
        <f>IF(O373="Win",M373,IF(O373="Loss",-L373,""))</f>
        <v/>
      </c>
      <c r="O373" s="4"/>
      <c r="P373" s="3"/>
      <c r="Q373" s="4">
        <f>IF(SUM(N$2:N373)="",Dashboard!B3,Dashboard!B3+SUM(N$2:N373))</f>
        <v>4972</v>
      </c>
      <c r="R373" s="3"/>
    </row>
    <row r="374" spans="1:18">
      <c r="A374" s="3"/>
      <c r="B374" s="3"/>
      <c r="C374" s="3"/>
      <c r="D374" s="3"/>
      <c r="E374" s="3"/>
      <c r="F374" s="3"/>
      <c r="G374" s="3"/>
      <c r="H374" s="3"/>
      <c r="I374" s="4"/>
      <c r="J374" s="4"/>
      <c r="K374" s="4"/>
      <c r="L374" s="4">
        <f>K374*100*I374</f>
        <v>0</v>
      </c>
      <c r="M374" s="4">
        <f>K374*100*J374</f>
        <v>0</v>
      </c>
      <c r="N374" s="4" t="str">
        <f>IF(O374="Win",M374,IF(O374="Loss",-L374,""))</f>
        <v/>
      </c>
      <c r="O374" s="4"/>
      <c r="P374" s="3"/>
      <c r="Q374" s="4">
        <f>IF(SUM(N$2:N374)="",Dashboard!B3,Dashboard!B3+SUM(N$2:N374))</f>
        <v>4972</v>
      </c>
      <c r="R374" s="3"/>
    </row>
    <row r="375" spans="1:18">
      <c r="A375" s="3"/>
      <c r="B375" s="3"/>
      <c r="C375" s="3"/>
      <c r="D375" s="3"/>
      <c r="E375" s="3"/>
      <c r="F375" s="3"/>
      <c r="G375" s="3"/>
      <c r="H375" s="3"/>
      <c r="I375" s="4"/>
      <c r="J375" s="4"/>
      <c r="K375" s="4"/>
      <c r="L375" s="4">
        <f>K375*100*I375</f>
        <v>0</v>
      </c>
      <c r="M375" s="4">
        <f>K375*100*J375</f>
        <v>0</v>
      </c>
      <c r="N375" s="4" t="str">
        <f>IF(O375="Win",M375,IF(O375="Loss",-L375,""))</f>
        <v/>
      </c>
      <c r="O375" s="4"/>
      <c r="P375" s="3"/>
      <c r="Q375" s="4">
        <f>IF(SUM(N$2:N375)="",Dashboard!B3,Dashboard!B3+SUM(N$2:N375))</f>
        <v>4972</v>
      </c>
      <c r="R375" s="3"/>
    </row>
    <row r="376" spans="1:18">
      <c r="A376" s="3"/>
      <c r="B376" s="3"/>
      <c r="C376" s="3"/>
      <c r="D376" s="3"/>
      <c r="E376" s="3"/>
      <c r="F376" s="3"/>
      <c r="G376" s="3"/>
      <c r="H376" s="3"/>
      <c r="I376" s="4"/>
      <c r="J376" s="4"/>
      <c r="K376" s="4"/>
      <c r="L376" s="4">
        <f>K376*100*I376</f>
        <v>0</v>
      </c>
      <c r="M376" s="4">
        <f>K376*100*J376</f>
        <v>0</v>
      </c>
      <c r="N376" s="4" t="str">
        <f>IF(O376="Win",M376,IF(O376="Loss",-L376,""))</f>
        <v/>
      </c>
      <c r="O376" s="4"/>
      <c r="P376" s="3"/>
      <c r="Q376" s="4">
        <f>IF(SUM(N$2:N376)="",Dashboard!B3,Dashboard!B3+SUM(N$2:N376))</f>
        <v>4972</v>
      </c>
      <c r="R376" s="3"/>
    </row>
    <row r="377" spans="1:18">
      <c r="A377" s="3"/>
      <c r="B377" s="3"/>
      <c r="C377" s="3"/>
      <c r="D377" s="3"/>
      <c r="E377" s="3"/>
      <c r="F377" s="3"/>
      <c r="G377" s="3"/>
      <c r="H377" s="3"/>
      <c r="I377" s="4"/>
      <c r="J377" s="4"/>
      <c r="K377" s="4"/>
      <c r="L377" s="4">
        <f>K377*100*I377</f>
        <v>0</v>
      </c>
      <c r="M377" s="4">
        <f>K377*100*J377</f>
        <v>0</v>
      </c>
      <c r="N377" s="4" t="str">
        <f>IF(O377="Win",M377,IF(O377="Loss",-L377,""))</f>
        <v/>
      </c>
      <c r="O377" s="4"/>
      <c r="P377" s="3"/>
      <c r="Q377" s="4">
        <f>IF(SUM(N$2:N377)="",Dashboard!B3,Dashboard!B3+SUM(N$2:N377))</f>
        <v>4972</v>
      </c>
      <c r="R377" s="3"/>
    </row>
    <row r="378" spans="1:18">
      <c r="A378" s="3"/>
      <c r="B378" s="3"/>
      <c r="C378" s="3"/>
      <c r="D378" s="3"/>
      <c r="E378" s="3"/>
      <c r="F378" s="3"/>
      <c r="G378" s="3"/>
      <c r="H378" s="3"/>
      <c r="I378" s="4"/>
      <c r="J378" s="4"/>
      <c r="K378" s="4"/>
      <c r="L378" s="4">
        <f>K378*100*I378</f>
        <v>0</v>
      </c>
      <c r="M378" s="4">
        <f>K378*100*J378</f>
        <v>0</v>
      </c>
      <c r="N378" s="4" t="str">
        <f>IF(O378="Win",M378,IF(O378="Loss",-L378,""))</f>
        <v/>
      </c>
      <c r="O378" s="4"/>
      <c r="P378" s="3"/>
      <c r="Q378" s="4">
        <f>IF(SUM(N$2:N378)="",Dashboard!B3,Dashboard!B3+SUM(N$2:N378))</f>
        <v>4972</v>
      </c>
      <c r="R378" s="3"/>
    </row>
    <row r="379" spans="1:18">
      <c r="A379" s="3"/>
      <c r="B379" s="3"/>
      <c r="C379" s="3"/>
      <c r="D379" s="3"/>
      <c r="E379" s="3"/>
      <c r="F379" s="3"/>
      <c r="G379" s="3"/>
      <c r="H379" s="3"/>
      <c r="I379" s="4"/>
      <c r="J379" s="4"/>
      <c r="K379" s="4"/>
      <c r="L379" s="4">
        <f>K379*100*I379</f>
        <v>0</v>
      </c>
      <c r="M379" s="4">
        <f>K379*100*J379</f>
        <v>0</v>
      </c>
      <c r="N379" s="4" t="str">
        <f>IF(O379="Win",M379,IF(O379="Loss",-L379,""))</f>
        <v/>
      </c>
      <c r="O379" s="4"/>
      <c r="P379" s="3"/>
      <c r="Q379" s="4">
        <f>IF(SUM(N$2:N379)="",Dashboard!B3,Dashboard!B3+SUM(N$2:N379))</f>
        <v>4972</v>
      </c>
      <c r="R379" s="3"/>
    </row>
    <row r="380" spans="1:18">
      <c r="A380" s="3"/>
      <c r="B380" s="3"/>
      <c r="C380" s="3"/>
      <c r="D380" s="3"/>
      <c r="E380" s="3"/>
      <c r="F380" s="3"/>
      <c r="G380" s="3"/>
      <c r="H380" s="3"/>
      <c r="I380" s="4"/>
      <c r="J380" s="4"/>
      <c r="K380" s="4"/>
      <c r="L380" s="4">
        <f>K380*100*I380</f>
        <v>0</v>
      </c>
      <c r="M380" s="4">
        <f>K380*100*J380</f>
        <v>0</v>
      </c>
      <c r="N380" s="4" t="str">
        <f>IF(O380="Win",M380,IF(O380="Loss",-L380,""))</f>
        <v/>
      </c>
      <c r="O380" s="4"/>
      <c r="P380" s="3"/>
      <c r="Q380" s="4">
        <f>IF(SUM(N$2:N380)="",Dashboard!B3,Dashboard!B3+SUM(N$2:N380))</f>
        <v>4972</v>
      </c>
      <c r="R380" s="3"/>
    </row>
    <row r="381" spans="1:18">
      <c r="A381" s="3"/>
      <c r="B381" s="3"/>
      <c r="C381" s="3"/>
      <c r="D381" s="3"/>
      <c r="E381" s="3"/>
      <c r="F381" s="3"/>
      <c r="G381" s="3"/>
      <c r="H381" s="3"/>
      <c r="I381" s="4"/>
      <c r="J381" s="4"/>
      <c r="K381" s="4"/>
      <c r="L381" s="4">
        <f>K381*100*I381</f>
        <v>0</v>
      </c>
      <c r="M381" s="4">
        <f>K381*100*J381</f>
        <v>0</v>
      </c>
      <c r="N381" s="4" t="str">
        <f>IF(O381="Win",M381,IF(O381="Loss",-L381,""))</f>
        <v/>
      </c>
      <c r="O381" s="4"/>
      <c r="P381" s="3"/>
      <c r="Q381" s="4">
        <f>IF(SUM(N$2:N381)="",Dashboard!B3,Dashboard!B3+SUM(N$2:N381))</f>
        <v>4972</v>
      </c>
      <c r="R381" s="3"/>
    </row>
    <row r="382" spans="1:18">
      <c r="A382" s="3"/>
      <c r="B382" s="3"/>
      <c r="C382" s="3"/>
      <c r="D382" s="3"/>
      <c r="E382" s="3"/>
      <c r="F382" s="3"/>
      <c r="G382" s="3"/>
      <c r="H382" s="3"/>
      <c r="I382" s="4"/>
      <c r="J382" s="4"/>
      <c r="K382" s="4"/>
      <c r="L382" s="4">
        <f>K382*100*I382</f>
        <v>0</v>
      </c>
      <c r="M382" s="4">
        <f>K382*100*J382</f>
        <v>0</v>
      </c>
      <c r="N382" s="4" t="str">
        <f>IF(O382="Win",M382,IF(O382="Loss",-L382,""))</f>
        <v/>
      </c>
      <c r="O382" s="4"/>
      <c r="P382" s="3"/>
      <c r="Q382" s="4">
        <f>IF(SUM(N$2:N382)="",Dashboard!B3,Dashboard!B3+SUM(N$2:N382))</f>
        <v>4972</v>
      </c>
      <c r="R382" s="3"/>
    </row>
    <row r="383" spans="1:18">
      <c r="A383" s="3"/>
      <c r="B383" s="3"/>
      <c r="C383" s="3"/>
      <c r="D383" s="3"/>
      <c r="E383" s="3"/>
      <c r="F383" s="3"/>
      <c r="G383" s="3"/>
      <c r="H383" s="3"/>
      <c r="I383" s="4"/>
      <c r="J383" s="4"/>
      <c r="K383" s="4"/>
      <c r="L383" s="4">
        <f>K383*100*I383</f>
        <v>0</v>
      </c>
      <c r="M383" s="4">
        <f>K383*100*J383</f>
        <v>0</v>
      </c>
      <c r="N383" s="4" t="str">
        <f>IF(O383="Win",M383,IF(O383="Loss",-L383,""))</f>
        <v/>
      </c>
      <c r="O383" s="4"/>
      <c r="P383" s="3"/>
      <c r="Q383" s="4">
        <f>IF(SUM(N$2:N383)="",Dashboard!B3,Dashboard!B3+SUM(N$2:N383))</f>
        <v>4972</v>
      </c>
      <c r="R383" s="3"/>
    </row>
    <row r="384" spans="1:18">
      <c r="A384" s="3"/>
      <c r="B384" s="3"/>
      <c r="C384" s="3"/>
      <c r="D384" s="3"/>
      <c r="E384" s="3"/>
      <c r="F384" s="3"/>
      <c r="G384" s="3"/>
      <c r="H384" s="3"/>
      <c r="I384" s="4"/>
      <c r="J384" s="4"/>
      <c r="K384" s="4"/>
      <c r="L384" s="4">
        <f>K384*100*I384</f>
        <v>0</v>
      </c>
      <c r="M384" s="4">
        <f>K384*100*J384</f>
        <v>0</v>
      </c>
      <c r="N384" s="4" t="str">
        <f>IF(O384="Win",M384,IF(O384="Loss",-L384,""))</f>
        <v/>
      </c>
      <c r="O384" s="4"/>
      <c r="P384" s="3"/>
      <c r="Q384" s="4">
        <f>IF(SUM(N$2:N384)="",Dashboard!B3,Dashboard!B3+SUM(N$2:N384))</f>
        <v>4972</v>
      </c>
      <c r="R384" s="3"/>
    </row>
    <row r="385" spans="1:18">
      <c r="A385" s="3"/>
      <c r="B385" s="3"/>
      <c r="C385" s="3"/>
      <c r="D385" s="3"/>
      <c r="E385" s="3"/>
      <c r="F385" s="3"/>
      <c r="G385" s="3"/>
      <c r="H385" s="3"/>
      <c r="I385" s="4"/>
      <c r="J385" s="4"/>
      <c r="K385" s="4"/>
      <c r="L385" s="4">
        <f>K385*100*I385</f>
        <v>0</v>
      </c>
      <c r="M385" s="4">
        <f>K385*100*J385</f>
        <v>0</v>
      </c>
      <c r="N385" s="4" t="str">
        <f>IF(O385="Win",M385,IF(O385="Loss",-L385,""))</f>
        <v/>
      </c>
      <c r="O385" s="4"/>
      <c r="P385" s="3"/>
      <c r="Q385" s="4">
        <f>IF(SUM(N$2:N385)="",Dashboard!B3,Dashboard!B3+SUM(N$2:N385))</f>
        <v>4972</v>
      </c>
      <c r="R385" s="3"/>
    </row>
    <row r="386" spans="1:18">
      <c r="A386" s="3"/>
      <c r="B386" s="3"/>
      <c r="C386" s="3"/>
      <c r="D386" s="3"/>
      <c r="E386" s="3"/>
      <c r="F386" s="3"/>
      <c r="G386" s="3"/>
      <c r="H386" s="3"/>
      <c r="I386" s="4"/>
      <c r="J386" s="4"/>
      <c r="K386" s="4"/>
      <c r="L386" s="4">
        <f>K386*100*I386</f>
        <v>0</v>
      </c>
      <c r="M386" s="4">
        <f>K386*100*J386</f>
        <v>0</v>
      </c>
      <c r="N386" s="4" t="str">
        <f>IF(O386="Win",M386,IF(O386="Loss",-L386,""))</f>
        <v/>
      </c>
      <c r="O386" s="4"/>
      <c r="P386" s="3"/>
      <c r="Q386" s="4">
        <f>IF(SUM(N$2:N386)="",Dashboard!B3,Dashboard!B3+SUM(N$2:N386))</f>
        <v>4972</v>
      </c>
      <c r="R386" s="3"/>
    </row>
    <row r="387" spans="1:18">
      <c r="A387" s="3"/>
      <c r="B387" s="3"/>
      <c r="C387" s="3"/>
      <c r="D387" s="3"/>
      <c r="E387" s="3"/>
      <c r="F387" s="3"/>
      <c r="G387" s="3"/>
      <c r="H387" s="3"/>
      <c r="I387" s="4"/>
      <c r="J387" s="4"/>
      <c r="K387" s="4"/>
      <c r="L387" s="4">
        <f>K387*100*I387</f>
        <v>0</v>
      </c>
      <c r="M387" s="4">
        <f>K387*100*J387</f>
        <v>0</v>
      </c>
      <c r="N387" s="4" t="str">
        <f>IF(O387="Win",M387,IF(O387="Loss",-L387,""))</f>
        <v/>
      </c>
      <c r="O387" s="4"/>
      <c r="P387" s="3"/>
      <c r="Q387" s="4">
        <f>IF(SUM(N$2:N387)="",Dashboard!B3,Dashboard!B3+SUM(N$2:N387))</f>
        <v>4972</v>
      </c>
      <c r="R387" s="3"/>
    </row>
    <row r="388" spans="1:18">
      <c r="A388" s="3"/>
      <c r="B388" s="3"/>
      <c r="C388" s="3"/>
      <c r="D388" s="3"/>
      <c r="E388" s="3"/>
      <c r="F388" s="3"/>
      <c r="G388" s="3"/>
      <c r="H388" s="3"/>
      <c r="I388" s="4"/>
      <c r="J388" s="4"/>
      <c r="K388" s="4"/>
      <c r="L388" s="4">
        <f>K388*100*I388</f>
        <v>0</v>
      </c>
      <c r="M388" s="4">
        <f>K388*100*J388</f>
        <v>0</v>
      </c>
      <c r="N388" s="4" t="str">
        <f>IF(O388="Win",M388,IF(O388="Loss",-L388,""))</f>
        <v/>
      </c>
      <c r="O388" s="4"/>
      <c r="P388" s="3"/>
      <c r="Q388" s="4">
        <f>IF(SUM(N$2:N388)="",Dashboard!B3,Dashboard!B3+SUM(N$2:N388))</f>
        <v>4972</v>
      </c>
      <c r="R388" s="3"/>
    </row>
    <row r="389" spans="1:18">
      <c r="A389" s="3"/>
      <c r="B389" s="3"/>
      <c r="C389" s="3"/>
      <c r="D389" s="3"/>
      <c r="E389" s="3"/>
      <c r="F389" s="3"/>
      <c r="G389" s="3"/>
      <c r="H389" s="3"/>
      <c r="I389" s="4"/>
      <c r="J389" s="4"/>
      <c r="K389" s="4"/>
      <c r="L389" s="4">
        <f>K389*100*I389</f>
        <v>0</v>
      </c>
      <c r="M389" s="4">
        <f>K389*100*J389</f>
        <v>0</v>
      </c>
      <c r="N389" s="4" t="str">
        <f>IF(O389="Win",M389,IF(O389="Loss",-L389,""))</f>
        <v/>
      </c>
      <c r="O389" s="4"/>
      <c r="P389" s="3"/>
      <c r="Q389" s="4">
        <f>IF(SUM(N$2:N389)="",Dashboard!B3,Dashboard!B3+SUM(N$2:N389))</f>
        <v>4972</v>
      </c>
      <c r="R389" s="3"/>
    </row>
    <row r="390" spans="1:18">
      <c r="A390" s="3"/>
      <c r="B390" s="3"/>
      <c r="C390" s="3"/>
      <c r="D390" s="3"/>
      <c r="E390" s="3"/>
      <c r="F390" s="3"/>
      <c r="G390" s="3"/>
      <c r="H390" s="3"/>
      <c r="I390" s="4"/>
      <c r="J390" s="4"/>
      <c r="K390" s="4"/>
      <c r="L390" s="4">
        <f>K390*100*I390</f>
        <v>0</v>
      </c>
      <c r="M390" s="4">
        <f>K390*100*J390</f>
        <v>0</v>
      </c>
      <c r="N390" s="4" t="str">
        <f>IF(O390="Win",M390,IF(O390="Loss",-L390,""))</f>
        <v/>
      </c>
      <c r="O390" s="4"/>
      <c r="P390" s="3"/>
      <c r="Q390" s="4">
        <f>IF(SUM(N$2:N390)="",Dashboard!B3,Dashboard!B3+SUM(N$2:N390))</f>
        <v>4972</v>
      </c>
      <c r="R390" s="3"/>
    </row>
    <row r="391" spans="1:18">
      <c r="A391" s="3"/>
      <c r="B391" s="3"/>
      <c r="C391" s="3"/>
      <c r="D391" s="3"/>
      <c r="E391" s="3"/>
      <c r="F391" s="3"/>
      <c r="G391" s="3"/>
      <c r="H391" s="3"/>
      <c r="I391" s="4"/>
      <c r="J391" s="4"/>
      <c r="K391" s="4"/>
      <c r="L391" s="4">
        <f>K391*100*I391</f>
        <v>0</v>
      </c>
      <c r="M391" s="4">
        <f>K391*100*J391</f>
        <v>0</v>
      </c>
      <c r="N391" s="4" t="str">
        <f>IF(O391="Win",M391,IF(O391="Loss",-L391,""))</f>
        <v/>
      </c>
      <c r="O391" s="4"/>
      <c r="P391" s="3"/>
      <c r="Q391" s="4">
        <f>IF(SUM(N$2:N391)="",Dashboard!B3,Dashboard!B3+SUM(N$2:N391))</f>
        <v>4972</v>
      </c>
      <c r="R391" s="3"/>
    </row>
    <row r="392" spans="1:18">
      <c r="A392" s="3"/>
      <c r="B392" s="3"/>
      <c r="C392" s="3"/>
      <c r="D392" s="3"/>
      <c r="E392" s="3"/>
      <c r="F392" s="3"/>
      <c r="G392" s="3"/>
      <c r="H392" s="3"/>
      <c r="I392" s="4"/>
      <c r="J392" s="4"/>
      <c r="K392" s="4"/>
      <c r="L392" s="4">
        <f>K392*100*I392</f>
        <v>0</v>
      </c>
      <c r="M392" s="4">
        <f>K392*100*J392</f>
        <v>0</v>
      </c>
      <c r="N392" s="4" t="str">
        <f>IF(O392="Win",M392,IF(O392="Loss",-L392,""))</f>
        <v/>
      </c>
      <c r="O392" s="4"/>
      <c r="P392" s="3"/>
      <c r="Q392" s="4">
        <f>IF(SUM(N$2:N392)="",Dashboard!B3,Dashboard!B3+SUM(N$2:N392))</f>
        <v>4972</v>
      </c>
      <c r="R392" s="3"/>
    </row>
    <row r="393" spans="1:18">
      <c r="A393" s="3"/>
      <c r="B393" s="3"/>
      <c r="C393" s="3"/>
      <c r="D393" s="3"/>
      <c r="E393" s="3"/>
      <c r="F393" s="3"/>
      <c r="G393" s="3"/>
      <c r="H393" s="3"/>
      <c r="I393" s="4"/>
      <c r="J393" s="4"/>
      <c r="K393" s="4"/>
      <c r="L393" s="4">
        <f>K393*100*I393</f>
        <v>0</v>
      </c>
      <c r="M393" s="4">
        <f>K393*100*J393</f>
        <v>0</v>
      </c>
      <c r="N393" s="4" t="str">
        <f>IF(O393="Win",M393,IF(O393="Loss",-L393,""))</f>
        <v/>
      </c>
      <c r="O393" s="4"/>
      <c r="P393" s="3"/>
      <c r="Q393" s="4">
        <f>IF(SUM(N$2:N393)="",Dashboard!B3,Dashboard!B3+SUM(N$2:N393))</f>
        <v>4972</v>
      </c>
      <c r="R393" s="3"/>
    </row>
    <row r="394" spans="1:18">
      <c r="A394" s="3"/>
      <c r="B394" s="3"/>
      <c r="C394" s="3"/>
      <c r="D394" s="3"/>
      <c r="E394" s="3"/>
      <c r="F394" s="3"/>
      <c r="G394" s="3"/>
      <c r="H394" s="3"/>
      <c r="I394" s="4"/>
      <c r="J394" s="4"/>
      <c r="K394" s="4"/>
      <c r="L394" s="4">
        <f>K394*100*I394</f>
        <v>0</v>
      </c>
      <c r="M394" s="4">
        <f>K394*100*J394</f>
        <v>0</v>
      </c>
      <c r="N394" s="4" t="str">
        <f>IF(O394="Win",M394,IF(O394="Loss",-L394,""))</f>
        <v/>
      </c>
      <c r="O394" s="4"/>
      <c r="P394" s="3"/>
      <c r="Q394" s="4">
        <f>IF(SUM(N$2:N394)="",Dashboard!B3,Dashboard!B3+SUM(N$2:N394))</f>
        <v>4972</v>
      </c>
      <c r="R394" s="3"/>
    </row>
    <row r="395" spans="1:18">
      <c r="A395" s="3"/>
      <c r="B395" s="3"/>
      <c r="C395" s="3"/>
      <c r="D395" s="3"/>
      <c r="E395" s="3"/>
      <c r="F395" s="3"/>
      <c r="G395" s="3"/>
      <c r="H395" s="3"/>
      <c r="I395" s="4"/>
      <c r="J395" s="4"/>
      <c r="K395" s="4"/>
      <c r="L395" s="4">
        <f>K395*100*I395</f>
        <v>0</v>
      </c>
      <c r="M395" s="4">
        <f>K395*100*J395</f>
        <v>0</v>
      </c>
      <c r="N395" s="4" t="str">
        <f>IF(O395="Win",M395,IF(O395="Loss",-L395,""))</f>
        <v/>
      </c>
      <c r="O395" s="4"/>
      <c r="P395" s="3"/>
      <c r="Q395" s="4">
        <f>IF(SUM(N$2:N395)="",Dashboard!B3,Dashboard!B3+SUM(N$2:N395))</f>
        <v>4972</v>
      </c>
      <c r="R395" s="3"/>
    </row>
    <row r="396" spans="1:18">
      <c r="A396" s="3"/>
      <c r="B396" s="3"/>
      <c r="C396" s="3"/>
      <c r="D396" s="3"/>
      <c r="E396" s="3"/>
      <c r="F396" s="3"/>
      <c r="G396" s="3"/>
      <c r="H396" s="3"/>
      <c r="I396" s="4"/>
      <c r="J396" s="4"/>
      <c r="K396" s="4"/>
      <c r="L396" s="4">
        <f>K396*100*I396</f>
        <v>0</v>
      </c>
      <c r="M396" s="4">
        <f>K396*100*J396</f>
        <v>0</v>
      </c>
      <c r="N396" s="4" t="str">
        <f>IF(O396="Win",M396,IF(O396="Loss",-L396,""))</f>
        <v/>
      </c>
      <c r="O396" s="4"/>
      <c r="P396" s="3"/>
      <c r="Q396" s="4">
        <f>IF(SUM(N$2:N396)="",Dashboard!B3,Dashboard!B3+SUM(N$2:N396))</f>
        <v>4972</v>
      </c>
      <c r="R396" s="3"/>
    </row>
    <row r="397" spans="1:18">
      <c r="A397" s="3"/>
      <c r="B397" s="3"/>
      <c r="C397" s="3"/>
      <c r="D397" s="3"/>
      <c r="E397" s="3"/>
      <c r="F397" s="3"/>
      <c r="G397" s="3"/>
      <c r="H397" s="3"/>
      <c r="I397" s="4"/>
      <c r="J397" s="4"/>
      <c r="K397" s="4"/>
      <c r="L397" s="4">
        <f>K397*100*I397</f>
        <v>0</v>
      </c>
      <c r="M397" s="4">
        <f>K397*100*J397</f>
        <v>0</v>
      </c>
      <c r="N397" s="4" t="str">
        <f>IF(O397="Win",M397,IF(O397="Loss",-L397,""))</f>
        <v/>
      </c>
      <c r="O397" s="4"/>
      <c r="P397" s="3"/>
      <c r="Q397" s="4">
        <f>IF(SUM(N$2:N397)="",Dashboard!B3,Dashboard!B3+SUM(N$2:N397))</f>
        <v>4972</v>
      </c>
      <c r="R397" s="3"/>
    </row>
    <row r="398" spans="1:18">
      <c r="A398" s="3"/>
      <c r="B398" s="3"/>
      <c r="C398" s="3"/>
      <c r="D398" s="3"/>
      <c r="E398" s="3"/>
      <c r="F398" s="3"/>
      <c r="G398" s="3"/>
      <c r="H398" s="3"/>
      <c r="I398" s="4"/>
      <c r="J398" s="4"/>
      <c r="K398" s="4"/>
      <c r="L398" s="4">
        <f>K398*100*I398</f>
        <v>0</v>
      </c>
      <c r="M398" s="4">
        <f>K398*100*J398</f>
        <v>0</v>
      </c>
      <c r="N398" s="4" t="str">
        <f>IF(O398="Win",M398,IF(O398="Loss",-L398,""))</f>
        <v/>
      </c>
      <c r="O398" s="4"/>
      <c r="P398" s="3"/>
      <c r="Q398" s="4">
        <f>IF(SUM(N$2:N398)="",Dashboard!B3,Dashboard!B3+SUM(N$2:N398))</f>
        <v>4972</v>
      </c>
      <c r="R398" s="3"/>
    </row>
    <row r="399" spans="1:18">
      <c r="A399" s="3"/>
      <c r="B399" s="3"/>
      <c r="C399" s="3"/>
      <c r="D399" s="3"/>
      <c r="E399" s="3"/>
      <c r="F399" s="3"/>
      <c r="G399" s="3"/>
      <c r="H399" s="3"/>
      <c r="I399" s="4"/>
      <c r="J399" s="4"/>
      <c r="K399" s="4"/>
      <c r="L399" s="4">
        <f>K399*100*I399</f>
        <v>0</v>
      </c>
      <c r="M399" s="4">
        <f>K399*100*J399</f>
        <v>0</v>
      </c>
      <c r="N399" s="4" t="str">
        <f>IF(O399="Win",M399,IF(O399="Loss",-L399,""))</f>
        <v/>
      </c>
      <c r="O399" s="4"/>
      <c r="P399" s="3"/>
      <c r="Q399" s="4">
        <f>IF(SUM(N$2:N399)="",Dashboard!B3,Dashboard!B3+SUM(N$2:N399))</f>
        <v>4972</v>
      </c>
      <c r="R399" s="3"/>
    </row>
    <row r="400" spans="1:18">
      <c r="A400" s="3"/>
      <c r="B400" s="3"/>
      <c r="C400" s="3"/>
      <c r="D400" s="3"/>
      <c r="E400" s="3"/>
      <c r="F400" s="3"/>
      <c r="G400" s="3"/>
      <c r="H400" s="3"/>
      <c r="I400" s="4"/>
      <c r="J400" s="4"/>
      <c r="K400" s="4"/>
      <c r="L400" s="4">
        <f>K400*100*I400</f>
        <v>0</v>
      </c>
      <c r="M400" s="4">
        <f>K400*100*J400</f>
        <v>0</v>
      </c>
      <c r="N400" s="4" t="str">
        <f>IF(O400="Win",M400,IF(O400="Loss",-L400,""))</f>
        <v/>
      </c>
      <c r="O400" s="4"/>
      <c r="P400" s="3"/>
      <c r="Q400" s="4">
        <f>IF(SUM(N$2:N400)="",Dashboard!B3,Dashboard!B3+SUM(N$2:N400))</f>
        <v>4972</v>
      </c>
      <c r="R400" s="3"/>
    </row>
    <row r="401" spans="1:18">
      <c r="A401" s="3"/>
      <c r="B401" s="3"/>
      <c r="C401" s="3"/>
      <c r="D401" s="3"/>
      <c r="E401" s="3"/>
      <c r="F401" s="3"/>
      <c r="G401" s="3"/>
      <c r="H401" s="3"/>
      <c r="I401" s="4"/>
      <c r="J401" s="4"/>
      <c r="K401" s="4"/>
      <c r="L401" s="4">
        <f>K401*100*I401</f>
        <v>0</v>
      </c>
      <c r="M401" s="4">
        <f>K401*100*J401</f>
        <v>0</v>
      </c>
      <c r="N401" s="4" t="str">
        <f>IF(O401="Win",M401,IF(O401="Loss",-L401,""))</f>
        <v/>
      </c>
      <c r="O401" s="4"/>
      <c r="P401" s="3"/>
      <c r="Q401" s="4">
        <f>IF(SUM(N$2:N401)="",Dashboard!B3,Dashboard!B3+SUM(N$2:N401))</f>
        <v>4972</v>
      </c>
      <c r="R401" s="3"/>
    </row>
    <row r="402" spans="1:18">
      <c r="A402" s="3"/>
      <c r="B402" s="3"/>
      <c r="C402" s="3"/>
      <c r="D402" s="3"/>
      <c r="E402" s="3"/>
      <c r="F402" s="3"/>
      <c r="G402" s="3"/>
      <c r="H402" s="3"/>
      <c r="I402" s="4"/>
      <c r="J402" s="4"/>
      <c r="K402" s="4"/>
      <c r="L402" s="4">
        <f>K402*100*I402</f>
        <v>0</v>
      </c>
      <c r="M402" s="4">
        <f>K402*100*J402</f>
        <v>0</v>
      </c>
      <c r="N402" s="4" t="str">
        <f>IF(O402="Win",M402,IF(O402="Loss",-L402,""))</f>
        <v/>
      </c>
      <c r="O402" s="4"/>
      <c r="P402" s="3"/>
      <c r="Q402" s="4">
        <f>IF(SUM(N$2:N402)="",Dashboard!B3,Dashboard!B3+SUM(N$2:N402))</f>
        <v>4972</v>
      </c>
      <c r="R402" s="3"/>
    </row>
    <row r="403" spans="1:18">
      <c r="A403" s="3"/>
      <c r="B403" s="3"/>
      <c r="C403" s="3"/>
      <c r="D403" s="3"/>
      <c r="E403" s="3"/>
      <c r="F403" s="3"/>
      <c r="G403" s="3"/>
      <c r="H403" s="3"/>
      <c r="I403" s="4"/>
      <c r="J403" s="4"/>
      <c r="K403" s="4"/>
      <c r="L403" s="4">
        <f>K403*100*I403</f>
        <v>0</v>
      </c>
      <c r="M403" s="4">
        <f>K403*100*J403</f>
        <v>0</v>
      </c>
      <c r="N403" s="4" t="str">
        <f>IF(O403="Win",M403,IF(O403="Loss",-L403,""))</f>
        <v/>
      </c>
      <c r="O403" s="4"/>
      <c r="P403" s="3"/>
      <c r="Q403" s="4">
        <f>IF(SUM(N$2:N403)="",Dashboard!B3,Dashboard!B3+SUM(N$2:N403))</f>
        <v>4972</v>
      </c>
      <c r="R403" s="3"/>
    </row>
    <row r="404" spans="1:18">
      <c r="A404" s="3"/>
      <c r="B404" s="3"/>
      <c r="C404" s="3"/>
      <c r="D404" s="3"/>
      <c r="E404" s="3"/>
      <c r="F404" s="3"/>
      <c r="G404" s="3"/>
      <c r="H404" s="3"/>
      <c r="I404" s="4"/>
      <c r="J404" s="4"/>
      <c r="K404" s="4"/>
      <c r="L404" s="4">
        <f>K404*100*I404</f>
        <v>0</v>
      </c>
      <c r="M404" s="4">
        <f>K404*100*J404</f>
        <v>0</v>
      </c>
      <c r="N404" s="4" t="str">
        <f>IF(O404="Win",M404,IF(O404="Loss",-L404,""))</f>
        <v/>
      </c>
      <c r="O404" s="4"/>
      <c r="P404" s="3"/>
      <c r="Q404" s="4">
        <f>IF(SUM(N$2:N404)="",Dashboard!B3,Dashboard!B3+SUM(N$2:N404))</f>
        <v>4972</v>
      </c>
      <c r="R404" s="3"/>
    </row>
    <row r="405" spans="1:18">
      <c r="A405" s="3"/>
      <c r="B405" s="3"/>
      <c r="C405" s="3"/>
      <c r="D405" s="3"/>
      <c r="E405" s="3"/>
      <c r="F405" s="3"/>
      <c r="G405" s="3"/>
      <c r="H405" s="3"/>
      <c r="I405" s="4"/>
      <c r="J405" s="4"/>
      <c r="K405" s="4"/>
      <c r="L405" s="4">
        <f>K405*100*I405</f>
        <v>0</v>
      </c>
      <c r="M405" s="4">
        <f>K405*100*J405</f>
        <v>0</v>
      </c>
      <c r="N405" s="4" t="str">
        <f>IF(O405="Win",M405,IF(O405="Loss",-L405,""))</f>
        <v/>
      </c>
      <c r="O405" s="4"/>
      <c r="P405" s="3"/>
      <c r="Q405" s="4">
        <f>IF(SUM(N$2:N405)="",Dashboard!B3,Dashboard!B3+SUM(N$2:N405))</f>
        <v>4972</v>
      </c>
      <c r="R405" s="3"/>
    </row>
    <row r="406" spans="1:18">
      <c r="A406" s="3"/>
      <c r="B406" s="3"/>
      <c r="C406" s="3"/>
      <c r="D406" s="3"/>
      <c r="E406" s="3"/>
      <c r="F406" s="3"/>
      <c r="G406" s="3"/>
      <c r="H406" s="3"/>
      <c r="I406" s="4"/>
      <c r="J406" s="4"/>
      <c r="K406" s="4"/>
      <c r="L406" s="4">
        <f>K406*100*I406</f>
        <v>0</v>
      </c>
      <c r="M406" s="4">
        <f>K406*100*J406</f>
        <v>0</v>
      </c>
      <c r="N406" s="4" t="str">
        <f>IF(O406="Win",M406,IF(O406="Loss",-L406,""))</f>
        <v/>
      </c>
      <c r="O406" s="4"/>
      <c r="P406" s="3"/>
      <c r="Q406" s="4">
        <f>IF(SUM(N$2:N406)="",Dashboard!B3,Dashboard!B3+SUM(N$2:N406))</f>
        <v>4972</v>
      </c>
      <c r="R406" s="3"/>
    </row>
    <row r="407" spans="1:18">
      <c r="A407" s="3"/>
      <c r="B407" s="3"/>
      <c r="C407" s="3"/>
      <c r="D407" s="3"/>
      <c r="E407" s="3"/>
      <c r="F407" s="3"/>
      <c r="G407" s="3"/>
      <c r="H407" s="3"/>
      <c r="I407" s="4"/>
      <c r="J407" s="4"/>
      <c r="K407" s="4"/>
      <c r="L407" s="4">
        <f>K407*100*I407</f>
        <v>0</v>
      </c>
      <c r="M407" s="4">
        <f>K407*100*J407</f>
        <v>0</v>
      </c>
      <c r="N407" s="4" t="str">
        <f>IF(O407="Win",M407,IF(O407="Loss",-L407,""))</f>
        <v/>
      </c>
      <c r="O407" s="4"/>
      <c r="P407" s="3"/>
      <c r="Q407" s="4">
        <f>IF(SUM(N$2:N407)="",Dashboard!B3,Dashboard!B3+SUM(N$2:N407))</f>
        <v>4972</v>
      </c>
      <c r="R407" s="3"/>
    </row>
    <row r="408" spans="1:18">
      <c r="A408" s="3"/>
      <c r="B408" s="3"/>
      <c r="C408" s="3"/>
      <c r="D408" s="3"/>
      <c r="E408" s="3"/>
      <c r="F408" s="3"/>
      <c r="G408" s="3"/>
      <c r="H408" s="3"/>
      <c r="I408" s="4"/>
      <c r="J408" s="4"/>
      <c r="K408" s="4"/>
      <c r="L408" s="4">
        <f>K408*100*I408</f>
        <v>0</v>
      </c>
      <c r="M408" s="4">
        <f>K408*100*J408</f>
        <v>0</v>
      </c>
      <c r="N408" s="4" t="str">
        <f>IF(O408="Win",M408,IF(O408="Loss",-L408,""))</f>
        <v/>
      </c>
      <c r="O408" s="4"/>
      <c r="P408" s="3"/>
      <c r="Q408" s="4">
        <f>IF(SUM(N$2:N408)="",Dashboard!B3,Dashboard!B3+SUM(N$2:N408))</f>
        <v>4972</v>
      </c>
      <c r="R408" s="3"/>
    </row>
    <row r="409" spans="1:18">
      <c r="A409" s="3"/>
      <c r="B409" s="3"/>
      <c r="C409" s="3"/>
      <c r="D409" s="3"/>
      <c r="E409" s="3"/>
      <c r="F409" s="3"/>
      <c r="G409" s="3"/>
      <c r="H409" s="3"/>
      <c r="I409" s="4"/>
      <c r="J409" s="4"/>
      <c r="K409" s="4"/>
      <c r="L409" s="4">
        <f>K409*100*I409</f>
        <v>0</v>
      </c>
      <c r="M409" s="4">
        <f>K409*100*J409</f>
        <v>0</v>
      </c>
      <c r="N409" s="4" t="str">
        <f>IF(O409="Win",M409,IF(O409="Loss",-L409,""))</f>
        <v/>
      </c>
      <c r="O409" s="4"/>
      <c r="P409" s="3"/>
      <c r="Q409" s="4">
        <f>IF(SUM(N$2:N409)="",Dashboard!B3,Dashboard!B3+SUM(N$2:N409))</f>
        <v>4972</v>
      </c>
      <c r="R409" s="3"/>
    </row>
    <row r="410" spans="1:18">
      <c r="A410" s="3"/>
      <c r="B410" s="3"/>
      <c r="C410" s="3"/>
      <c r="D410" s="3"/>
      <c r="E410" s="3"/>
      <c r="F410" s="3"/>
      <c r="G410" s="3"/>
      <c r="H410" s="3"/>
      <c r="I410" s="4"/>
      <c r="J410" s="4"/>
      <c r="K410" s="4"/>
      <c r="L410" s="4">
        <f>K410*100*I410</f>
        <v>0</v>
      </c>
      <c r="M410" s="4">
        <f>K410*100*J410</f>
        <v>0</v>
      </c>
      <c r="N410" s="4" t="str">
        <f>IF(O410="Win",M410,IF(O410="Loss",-L410,""))</f>
        <v/>
      </c>
      <c r="O410" s="4"/>
      <c r="P410" s="3"/>
      <c r="Q410" s="4">
        <f>IF(SUM(N$2:N410)="",Dashboard!B3,Dashboard!B3+SUM(N$2:N410))</f>
        <v>4972</v>
      </c>
      <c r="R410" s="3"/>
    </row>
    <row r="411" spans="1:18">
      <c r="A411" s="3"/>
      <c r="B411" s="3"/>
      <c r="C411" s="3"/>
      <c r="D411" s="3"/>
      <c r="E411" s="3"/>
      <c r="F411" s="3"/>
      <c r="G411" s="3"/>
      <c r="H411" s="3"/>
      <c r="I411" s="4"/>
      <c r="J411" s="4"/>
      <c r="K411" s="4"/>
      <c r="L411" s="4">
        <f>K411*100*I411</f>
        <v>0</v>
      </c>
      <c r="M411" s="4">
        <f>K411*100*J411</f>
        <v>0</v>
      </c>
      <c r="N411" s="4" t="str">
        <f>IF(O411="Win",M411,IF(O411="Loss",-L411,""))</f>
        <v/>
      </c>
      <c r="O411" s="4"/>
      <c r="P411" s="3"/>
      <c r="Q411" s="4">
        <f>IF(SUM(N$2:N411)="",Dashboard!B3,Dashboard!B3+SUM(N$2:N411))</f>
        <v>4972</v>
      </c>
      <c r="R411" s="3"/>
    </row>
    <row r="412" spans="1:18">
      <c r="A412" s="3"/>
      <c r="B412" s="3"/>
      <c r="C412" s="3"/>
      <c r="D412" s="3"/>
      <c r="E412" s="3"/>
      <c r="F412" s="3"/>
      <c r="G412" s="3"/>
      <c r="H412" s="3"/>
      <c r="I412" s="4"/>
      <c r="J412" s="4"/>
      <c r="K412" s="4"/>
      <c r="L412" s="4">
        <f>K412*100*I412</f>
        <v>0</v>
      </c>
      <c r="M412" s="4">
        <f>K412*100*J412</f>
        <v>0</v>
      </c>
      <c r="N412" s="4" t="str">
        <f>IF(O412="Win",M412,IF(O412="Loss",-L412,""))</f>
        <v/>
      </c>
      <c r="O412" s="4"/>
      <c r="P412" s="3"/>
      <c r="Q412" s="4">
        <f>IF(SUM(N$2:N412)="",Dashboard!B3,Dashboard!B3+SUM(N$2:N412))</f>
        <v>4972</v>
      </c>
      <c r="R412" s="3"/>
    </row>
    <row r="413" spans="1:18">
      <c r="A413" s="3"/>
      <c r="B413" s="3"/>
      <c r="C413" s="3"/>
      <c r="D413" s="3"/>
      <c r="E413" s="3"/>
      <c r="F413" s="3"/>
      <c r="G413" s="3"/>
      <c r="H413" s="3"/>
      <c r="I413" s="4"/>
      <c r="J413" s="4"/>
      <c r="K413" s="4"/>
      <c r="L413" s="4">
        <f>K413*100*I413</f>
        <v>0</v>
      </c>
      <c r="M413" s="4">
        <f>K413*100*J413</f>
        <v>0</v>
      </c>
      <c r="N413" s="4" t="str">
        <f>IF(O413="Win",M413,IF(O413="Loss",-L413,""))</f>
        <v/>
      </c>
      <c r="O413" s="4"/>
      <c r="P413" s="3"/>
      <c r="Q413" s="4">
        <f>IF(SUM(N$2:N413)="",Dashboard!B3,Dashboard!B3+SUM(N$2:N413))</f>
        <v>4972</v>
      </c>
      <c r="R413" s="3"/>
    </row>
    <row r="414" spans="1:18">
      <c r="A414" s="3"/>
      <c r="B414" s="3"/>
      <c r="C414" s="3"/>
      <c r="D414" s="3"/>
      <c r="E414" s="3"/>
      <c r="F414" s="3"/>
      <c r="G414" s="3"/>
      <c r="H414" s="3"/>
      <c r="I414" s="4"/>
      <c r="J414" s="4"/>
      <c r="K414" s="4"/>
      <c r="L414" s="4">
        <f>K414*100*I414</f>
        <v>0</v>
      </c>
      <c r="M414" s="4">
        <f>K414*100*J414</f>
        <v>0</v>
      </c>
      <c r="N414" s="4" t="str">
        <f>IF(O414="Win",M414,IF(O414="Loss",-L414,""))</f>
        <v/>
      </c>
      <c r="O414" s="4"/>
      <c r="P414" s="3"/>
      <c r="Q414" s="4">
        <f>IF(SUM(N$2:N414)="",Dashboard!B3,Dashboard!B3+SUM(N$2:N414))</f>
        <v>4972</v>
      </c>
      <c r="R414" s="3"/>
    </row>
    <row r="415" spans="1:18">
      <c r="A415" s="3"/>
      <c r="B415" s="3"/>
      <c r="C415" s="3"/>
      <c r="D415" s="3"/>
      <c r="E415" s="3"/>
      <c r="F415" s="3"/>
      <c r="G415" s="3"/>
      <c r="H415" s="3"/>
      <c r="I415" s="4"/>
      <c r="J415" s="4"/>
      <c r="K415" s="4"/>
      <c r="L415" s="4">
        <f>K415*100*I415</f>
        <v>0</v>
      </c>
      <c r="M415" s="4">
        <f>K415*100*J415</f>
        <v>0</v>
      </c>
      <c r="N415" s="4" t="str">
        <f>IF(O415="Win",M415,IF(O415="Loss",-L415,""))</f>
        <v/>
      </c>
      <c r="O415" s="4"/>
      <c r="P415" s="3"/>
      <c r="Q415" s="4">
        <f>IF(SUM(N$2:N415)="",Dashboard!B3,Dashboard!B3+SUM(N$2:N415))</f>
        <v>4972</v>
      </c>
      <c r="R415" s="3"/>
    </row>
    <row r="416" spans="1:18">
      <c r="A416" s="3"/>
      <c r="B416" s="3"/>
      <c r="C416" s="3"/>
      <c r="D416" s="3"/>
      <c r="E416" s="3"/>
      <c r="F416" s="3"/>
      <c r="G416" s="3"/>
      <c r="H416" s="3"/>
      <c r="I416" s="4"/>
      <c r="J416" s="4"/>
      <c r="K416" s="4"/>
      <c r="L416" s="4">
        <f>K416*100*I416</f>
        <v>0</v>
      </c>
      <c r="M416" s="4">
        <f>K416*100*J416</f>
        <v>0</v>
      </c>
      <c r="N416" s="4" t="str">
        <f>IF(O416="Win",M416,IF(O416="Loss",-L416,""))</f>
        <v/>
      </c>
      <c r="O416" s="4"/>
      <c r="P416" s="3"/>
      <c r="Q416" s="4">
        <f>IF(SUM(N$2:N416)="",Dashboard!B3,Dashboard!B3+SUM(N$2:N416))</f>
        <v>4972</v>
      </c>
      <c r="R416" s="3"/>
    </row>
    <row r="417" spans="1:18">
      <c r="A417" s="3"/>
      <c r="B417" s="3"/>
      <c r="C417" s="3"/>
      <c r="D417" s="3"/>
      <c r="E417" s="3"/>
      <c r="F417" s="3"/>
      <c r="G417" s="3"/>
      <c r="H417" s="3"/>
      <c r="I417" s="4"/>
      <c r="J417" s="4"/>
      <c r="K417" s="4"/>
      <c r="L417" s="4">
        <f>K417*100*I417</f>
        <v>0</v>
      </c>
      <c r="M417" s="4">
        <f>K417*100*J417</f>
        <v>0</v>
      </c>
      <c r="N417" s="4" t="str">
        <f>IF(O417="Win",M417,IF(O417="Loss",-L417,""))</f>
        <v/>
      </c>
      <c r="O417" s="4"/>
      <c r="P417" s="3"/>
      <c r="Q417" s="4">
        <f>IF(SUM(N$2:N417)="",Dashboard!B3,Dashboard!B3+SUM(N$2:N417))</f>
        <v>4972</v>
      </c>
      <c r="R417" s="3"/>
    </row>
    <row r="418" spans="1:18">
      <c r="A418" s="3"/>
      <c r="B418" s="3"/>
      <c r="C418" s="3"/>
      <c r="D418" s="3"/>
      <c r="E418" s="3"/>
      <c r="F418" s="3"/>
      <c r="G418" s="3"/>
      <c r="H418" s="3"/>
      <c r="I418" s="4"/>
      <c r="J418" s="4"/>
      <c r="K418" s="4"/>
      <c r="L418" s="4">
        <f>K418*100*I418</f>
        <v>0</v>
      </c>
      <c r="M418" s="4">
        <f>K418*100*J418</f>
        <v>0</v>
      </c>
      <c r="N418" s="4" t="str">
        <f>IF(O418="Win",M418,IF(O418="Loss",-L418,""))</f>
        <v/>
      </c>
      <c r="O418" s="4"/>
      <c r="P418" s="3"/>
      <c r="Q418" s="4">
        <f>IF(SUM(N$2:N418)="",Dashboard!B3,Dashboard!B3+SUM(N$2:N418))</f>
        <v>4972</v>
      </c>
      <c r="R418" s="3"/>
    </row>
    <row r="419" spans="1:18">
      <c r="A419" s="3"/>
      <c r="B419" s="3"/>
      <c r="C419" s="3"/>
      <c r="D419" s="3"/>
      <c r="E419" s="3"/>
      <c r="F419" s="3"/>
      <c r="G419" s="3"/>
      <c r="H419" s="3"/>
      <c r="I419" s="4"/>
      <c r="J419" s="4"/>
      <c r="K419" s="4"/>
      <c r="L419" s="4">
        <f>K419*100*I419</f>
        <v>0</v>
      </c>
      <c r="M419" s="4">
        <f>K419*100*J419</f>
        <v>0</v>
      </c>
      <c r="N419" s="4" t="str">
        <f>IF(O419="Win",M419,IF(O419="Loss",-L419,""))</f>
        <v/>
      </c>
      <c r="O419" s="4"/>
      <c r="P419" s="3"/>
      <c r="Q419" s="4">
        <f>IF(SUM(N$2:N419)="",Dashboard!B3,Dashboard!B3+SUM(N$2:N419))</f>
        <v>4972</v>
      </c>
      <c r="R419" s="3"/>
    </row>
    <row r="420" spans="1:18">
      <c r="A420" s="3"/>
      <c r="B420" s="3"/>
      <c r="C420" s="3"/>
      <c r="D420" s="3"/>
      <c r="E420" s="3"/>
      <c r="F420" s="3"/>
      <c r="G420" s="3"/>
      <c r="H420" s="3"/>
      <c r="I420" s="4"/>
      <c r="J420" s="4"/>
      <c r="K420" s="4"/>
      <c r="L420" s="4">
        <f>K420*100*I420</f>
        <v>0</v>
      </c>
      <c r="M420" s="4">
        <f>K420*100*J420</f>
        <v>0</v>
      </c>
      <c r="N420" s="4" t="str">
        <f>IF(O420="Win",M420,IF(O420="Loss",-L420,""))</f>
        <v/>
      </c>
      <c r="O420" s="4"/>
      <c r="P420" s="3"/>
      <c r="Q420" s="4">
        <f>IF(SUM(N$2:N420)="",Dashboard!B3,Dashboard!B3+SUM(N$2:N420))</f>
        <v>4972</v>
      </c>
      <c r="R420" s="3"/>
    </row>
    <row r="421" spans="1:18">
      <c r="A421" s="3"/>
      <c r="B421" s="3"/>
      <c r="C421" s="3"/>
      <c r="D421" s="3"/>
      <c r="E421" s="3"/>
      <c r="F421" s="3"/>
      <c r="G421" s="3"/>
      <c r="H421" s="3"/>
      <c r="I421" s="4"/>
      <c r="J421" s="4"/>
      <c r="K421" s="4"/>
      <c r="L421" s="4">
        <f>K421*100*I421</f>
        <v>0</v>
      </c>
      <c r="M421" s="4">
        <f>K421*100*J421</f>
        <v>0</v>
      </c>
      <c r="N421" s="4" t="str">
        <f>IF(O421="Win",M421,IF(O421="Loss",-L421,""))</f>
        <v/>
      </c>
      <c r="O421" s="4"/>
      <c r="P421" s="3"/>
      <c r="Q421" s="4">
        <f>IF(SUM(N$2:N421)="",Dashboard!B3,Dashboard!B3+SUM(N$2:N421))</f>
        <v>4972</v>
      </c>
      <c r="R421" s="3"/>
    </row>
    <row r="422" spans="1:18">
      <c r="A422" s="3"/>
      <c r="B422" s="3"/>
      <c r="C422" s="3"/>
      <c r="D422" s="3"/>
      <c r="E422" s="3"/>
      <c r="F422" s="3"/>
      <c r="G422" s="3"/>
      <c r="H422" s="3"/>
      <c r="I422" s="4"/>
      <c r="J422" s="4"/>
      <c r="K422" s="4"/>
      <c r="L422" s="4">
        <f>K422*100*I422</f>
        <v>0</v>
      </c>
      <c r="M422" s="4">
        <f>K422*100*J422</f>
        <v>0</v>
      </c>
      <c r="N422" s="4" t="str">
        <f>IF(O422="Win",M422,IF(O422="Loss",-L422,""))</f>
        <v/>
      </c>
      <c r="O422" s="4"/>
      <c r="P422" s="3"/>
      <c r="Q422" s="4">
        <f>IF(SUM(N$2:N422)="",Dashboard!B3,Dashboard!B3+SUM(N$2:N422))</f>
        <v>4972</v>
      </c>
      <c r="R422" s="3"/>
    </row>
    <row r="423" spans="1:18">
      <c r="A423" s="3"/>
      <c r="B423" s="3"/>
      <c r="C423" s="3"/>
      <c r="D423" s="3"/>
      <c r="E423" s="3"/>
      <c r="F423" s="3"/>
      <c r="G423" s="3"/>
      <c r="H423" s="3"/>
      <c r="I423" s="4"/>
      <c r="J423" s="4"/>
      <c r="K423" s="4"/>
      <c r="L423" s="4">
        <f>K423*100*I423</f>
        <v>0</v>
      </c>
      <c r="M423" s="4">
        <f>K423*100*J423</f>
        <v>0</v>
      </c>
      <c r="N423" s="4" t="str">
        <f>IF(O423="Win",M423,IF(O423="Loss",-L423,""))</f>
        <v/>
      </c>
      <c r="O423" s="4"/>
      <c r="P423" s="3"/>
      <c r="Q423" s="4">
        <f>IF(SUM(N$2:N423)="",Dashboard!B3,Dashboard!B3+SUM(N$2:N423))</f>
        <v>4972</v>
      </c>
      <c r="R423" s="3"/>
    </row>
    <row r="424" spans="1:18">
      <c r="A424" s="3"/>
      <c r="B424" s="3"/>
      <c r="C424" s="3"/>
      <c r="D424" s="3"/>
      <c r="E424" s="3"/>
      <c r="F424" s="3"/>
      <c r="G424" s="3"/>
      <c r="H424" s="3"/>
      <c r="I424" s="4"/>
      <c r="J424" s="4"/>
      <c r="K424" s="4"/>
      <c r="L424" s="4">
        <f>K424*100*I424</f>
        <v>0</v>
      </c>
      <c r="M424" s="4">
        <f>K424*100*J424</f>
        <v>0</v>
      </c>
      <c r="N424" s="4" t="str">
        <f>IF(O424="Win",M424,IF(O424="Loss",-L424,""))</f>
        <v/>
      </c>
      <c r="O424" s="4"/>
      <c r="P424" s="3"/>
      <c r="Q424" s="4">
        <f>IF(SUM(N$2:N424)="",Dashboard!B3,Dashboard!B3+SUM(N$2:N424))</f>
        <v>4972</v>
      </c>
      <c r="R424" s="3"/>
    </row>
    <row r="425" spans="1:18">
      <c r="A425" s="3"/>
      <c r="B425" s="3"/>
      <c r="C425" s="3"/>
      <c r="D425" s="3"/>
      <c r="E425" s="3"/>
      <c r="F425" s="3"/>
      <c r="G425" s="3"/>
      <c r="H425" s="3"/>
      <c r="I425" s="4"/>
      <c r="J425" s="4"/>
      <c r="K425" s="4"/>
      <c r="L425" s="4">
        <f>K425*100*I425</f>
        <v>0</v>
      </c>
      <c r="M425" s="4">
        <f>K425*100*J425</f>
        <v>0</v>
      </c>
      <c r="N425" s="4" t="str">
        <f>IF(O425="Win",M425,IF(O425="Loss",-L425,""))</f>
        <v/>
      </c>
      <c r="O425" s="4"/>
      <c r="P425" s="3"/>
      <c r="Q425" s="4">
        <f>IF(SUM(N$2:N425)="",Dashboard!B3,Dashboard!B3+SUM(N$2:N425))</f>
        <v>4972</v>
      </c>
      <c r="R425" s="3"/>
    </row>
    <row r="426" spans="1:18">
      <c r="A426" s="3"/>
      <c r="B426" s="3"/>
      <c r="C426" s="3"/>
      <c r="D426" s="3"/>
      <c r="E426" s="3"/>
      <c r="F426" s="3"/>
      <c r="G426" s="3"/>
      <c r="H426" s="3"/>
      <c r="I426" s="4"/>
      <c r="J426" s="4"/>
      <c r="K426" s="4"/>
      <c r="L426" s="4">
        <f>K426*100*I426</f>
        <v>0</v>
      </c>
      <c r="M426" s="4">
        <f>K426*100*J426</f>
        <v>0</v>
      </c>
      <c r="N426" s="4" t="str">
        <f>IF(O426="Win",M426,IF(O426="Loss",-L426,""))</f>
        <v/>
      </c>
      <c r="O426" s="4"/>
      <c r="P426" s="3"/>
      <c r="Q426" s="4">
        <f>IF(SUM(N$2:N426)="",Dashboard!B3,Dashboard!B3+SUM(N$2:N426))</f>
        <v>4972</v>
      </c>
      <c r="R426" s="3"/>
    </row>
    <row r="427" spans="1:18">
      <c r="A427" s="3"/>
      <c r="B427" s="3"/>
      <c r="C427" s="3"/>
      <c r="D427" s="3"/>
      <c r="E427" s="3"/>
      <c r="F427" s="3"/>
      <c r="G427" s="3"/>
      <c r="H427" s="3"/>
      <c r="I427" s="4"/>
      <c r="J427" s="4"/>
      <c r="K427" s="4"/>
      <c r="L427" s="4">
        <f>K427*100*I427</f>
        <v>0</v>
      </c>
      <c r="M427" s="4">
        <f>K427*100*J427</f>
        <v>0</v>
      </c>
      <c r="N427" s="4" t="str">
        <f>IF(O427="Win",M427,IF(O427="Loss",-L427,""))</f>
        <v/>
      </c>
      <c r="O427" s="4"/>
      <c r="P427" s="3"/>
      <c r="Q427" s="4">
        <f>IF(SUM(N$2:N427)="",Dashboard!B3,Dashboard!B3+SUM(N$2:N427))</f>
        <v>4972</v>
      </c>
      <c r="R427" s="3"/>
    </row>
    <row r="428" spans="1:18">
      <c r="A428" s="3"/>
      <c r="B428" s="3"/>
      <c r="C428" s="3"/>
      <c r="D428" s="3"/>
      <c r="E428" s="3"/>
      <c r="F428" s="3"/>
      <c r="G428" s="3"/>
      <c r="H428" s="3"/>
      <c r="I428" s="4"/>
      <c r="J428" s="4"/>
      <c r="K428" s="4"/>
      <c r="L428" s="4">
        <f>K428*100*I428</f>
        <v>0</v>
      </c>
      <c r="M428" s="4">
        <f>K428*100*J428</f>
        <v>0</v>
      </c>
      <c r="N428" s="4" t="str">
        <f>IF(O428="Win",M428,IF(O428="Loss",-L428,""))</f>
        <v/>
      </c>
      <c r="O428" s="4"/>
      <c r="P428" s="3"/>
      <c r="Q428" s="4">
        <f>IF(SUM(N$2:N428)="",Dashboard!B3,Dashboard!B3+SUM(N$2:N428))</f>
        <v>4972</v>
      </c>
      <c r="R428" s="3"/>
    </row>
    <row r="429" spans="1:18">
      <c r="A429" s="3"/>
      <c r="B429" s="3"/>
      <c r="C429" s="3"/>
      <c r="D429" s="3"/>
      <c r="E429" s="3"/>
      <c r="F429" s="3"/>
      <c r="G429" s="3"/>
      <c r="H429" s="3"/>
      <c r="I429" s="4"/>
      <c r="J429" s="4"/>
      <c r="K429" s="4"/>
      <c r="L429" s="4">
        <f>K429*100*I429</f>
        <v>0</v>
      </c>
      <c r="M429" s="4">
        <f>K429*100*J429</f>
        <v>0</v>
      </c>
      <c r="N429" s="4" t="str">
        <f>IF(O429="Win",M429,IF(O429="Loss",-L429,""))</f>
        <v/>
      </c>
      <c r="O429" s="4"/>
      <c r="P429" s="3"/>
      <c r="Q429" s="4">
        <f>IF(SUM(N$2:N429)="",Dashboard!B3,Dashboard!B3+SUM(N$2:N429))</f>
        <v>4972</v>
      </c>
      <c r="R429" s="3"/>
    </row>
    <row r="430" spans="1:18">
      <c r="A430" s="3"/>
      <c r="B430" s="3"/>
      <c r="C430" s="3"/>
      <c r="D430" s="3"/>
      <c r="E430" s="3"/>
      <c r="F430" s="3"/>
      <c r="G430" s="3"/>
      <c r="H430" s="3"/>
      <c r="I430" s="4"/>
      <c r="J430" s="4"/>
      <c r="K430" s="4"/>
      <c r="L430" s="4">
        <f>K430*100*I430</f>
        <v>0</v>
      </c>
      <c r="M430" s="4">
        <f>K430*100*J430</f>
        <v>0</v>
      </c>
      <c r="N430" s="4" t="str">
        <f>IF(O430="Win",M430,IF(O430="Loss",-L430,""))</f>
        <v/>
      </c>
      <c r="O430" s="4"/>
      <c r="P430" s="3"/>
      <c r="Q430" s="4">
        <f>IF(SUM(N$2:N430)="",Dashboard!B3,Dashboard!B3+SUM(N$2:N430))</f>
        <v>4972</v>
      </c>
      <c r="R430" s="3"/>
    </row>
    <row r="431" spans="1:18">
      <c r="A431" s="3"/>
      <c r="B431" s="3"/>
      <c r="C431" s="3"/>
      <c r="D431" s="3"/>
      <c r="E431" s="3"/>
      <c r="F431" s="3"/>
      <c r="G431" s="3"/>
      <c r="H431" s="3"/>
      <c r="I431" s="4"/>
      <c r="J431" s="4"/>
      <c r="K431" s="4"/>
      <c r="L431" s="4">
        <f>K431*100*I431</f>
        <v>0</v>
      </c>
      <c r="M431" s="4">
        <f>K431*100*J431</f>
        <v>0</v>
      </c>
      <c r="N431" s="4" t="str">
        <f>IF(O431="Win",M431,IF(O431="Loss",-L431,""))</f>
        <v/>
      </c>
      <c r="O431" s="4"/>
      <c r="P431" s="3"/>
      <c r="Q431" s="4">
        <f>IF(SUM(N$2:N431)="",Dashboard!B3,Dashboard!B3+SUM(N$2:N431))</f>
        <v>4972</v>
      </c>
      <c r="R431" s="3"/>
    </row>
    <row r="432" spans="1:18">
      <c r="A432" s="3"/>
      <c r="B432" s="3"/>
      <c r="C432" s="3"/>
      <c r="D432" s="3"/>
      <c r="E432" s="3"/>
      <c r="F432" s="3"/>
      <c r="G432" s="3"/>
      <c r="H432" s="3"/>
      <c r="I432" s="4"/>
      <c r="J432" s="4"/>
      <c r="K432" s="4"/>
      <c r="L432" s="4">
        <f>K432*100*I432</f>
        <v>0</v>
      </c>
      <c r="M432" s="4">
        <f>K432*100*J432</f>
        <v>0</v>
      </c>
      <c r="N432" s="4" t="str">
        <f>IF(O432="Win",M432,IF(O432="Loss",-L432,""))</f>
        <v/>
      </c>
      <c r="O432" s="4"/>
      <c r="P432" s="3"/>
      <c r="Q432" s="4">
        <f>IF(SUM(N$2:N432)="",Dashboard!B3,Dashboard!B3+SUM(N$2:N432))</f>
        <v>4972</v>
      </c>
      <c r="R432" s="3"/>
    </row>
    <row r="433" spans="1:18">
      <c r="A433" s="3"/>
      <c r="B433" s="3"/>
      <c r="C433" s="3"/>
      <c r="D433" s="3"/>
      <c r="E433" s="3"/>
      <c r="F433" s="3"/>
      <c r="G433" s="3"/>
      <c r="H433" s="3"/>
      <c r="I433" s="4"/>
      <c r="J433" s="4"/>
      <c r="K433" s="4"/>
      <c r="L433" s="4">
        <f>K433*100*I433</f>
        <v>0</v>
      </c>
      <c r="M433" s="4">
        <f>K433*100*J433</f>
        <v>0</v>
      </c>
      <c r="N433" s="4" t="str">
        <f>IF(O433="Win",M433,IF(O433="Loss",-L433,""))</f>
        <v/>
      </c>
      <c r="O433" s="4"/>
      <c r="P433" s="3"/>
      <c r="Q433" s="4">
        <f>IF(SUM(N$2:N433)="",Dashboard!B3,Dashboard!B3+SUM(N$2:N433))</f>
        <v>4972</v>
      </c>
      <c r="R433" s="3"/>
    </row>
    <row r="434" spans="1:18">
      <c r="A434" s="3"/>
      <c r="B434" s="3"/>
      <c r="C434" s="3"/>
      <c r="D434" s="3"/>
      <c r="E434" s="3"/>
      <c r="F434" s="3"/>
      <c r="G434" s="3"/>
      <c r="H434" s="3"/>
      <c r="I434" s="4"/>
      <c r="J434" s="4"/>
      <c r="K434" s="4"/>
      <c r="L434" s="4">
        <f>K434*100*I434</f>
        <v>0</v>
      </c>
      <c r="M434" s="4">
        <f>K434*100*J434</f>
        <v>0</v>
      </c>
      <c r="N434" s="4" t="str">
        <f>IF(O434="Win",M434,IF(O434="Loss",-L434,""))</f>
        <v/>
      </c>
      <c r="O434" s="4"/>
      <c r="P434" s="3"/>
      <c r="Q434" s="4">
        <f>IF(SUM(N$2:N434)="",Dashboard!B3,Dashboard!B3+SUM(N$2:N434))</f>
        <v>4972</v>
      </c>
      <c r="R434" s="3"/>
    </row>
    <row r="435" spans="1:18">
      <c r="A435" s="3"/>
      <c r="B435" s="3"/>
      <c r="C435" s="3"/>
      <c r="D435" s="3"/>
      <c r="E435" s="3"/>
      <c r="F435" s="3"/>
      <c r="G435" s="3"/>
      <c r="H435" s="3"/>
      <c r="I435" s="4"/>
      <c r="J435" s="4"/>
      <c r="K435" s="4"/>
      <c r="L435" s="4">
        <f>K435*100*I435</f>
        <v>0</v>
      </c>
      <c r="M435" s="4">
        <f>K435*100*J435</f>
        <v>0</v>
      </c>
      <c r="N435" s="4" t="str">
        <f>IF(O435="Win",M435,IF(O435="Loss",-L435,""))</f>
        <v/>
      </c>
      <c r="O435" s="4"/>
      <c r="P435" s="3"/>
      <c r="Q435" s="4">
        <f>IF(SUM(N$2:N435)="",Dashboard!B3,Dashboard!B3+SUM(N$2:N435))</f>
        <v>4972</v>
      </c>
      <c r="R435" s="3"/>
    </row>
    <row r="436" spans="1:18">
      <c r="A436" s="3"/>
      <c r="B436" s="3"/>
      <c r="C436" s="3"/>
      <c r="D436" s="3"/>
      <c r="E436" s="3"/>
      <c r="F436" s="3"/>
      <c r="G436" s="3"/>
      <c r="H436" s="3"/>
      <c r="I436" s="4"/>
      <c r="J436" s="4"/>
      <c r="K436" s="4"/>
      <c r="L436" s="4">
        <f>K436*100*I436</f>
        <v>0</v>
      </c>
      <c r="M436" s="4">
        <f>K436*100*J436</f>
        <v>0</v>
      </c>
      <c r="N436" s="4" t="str">
        <f>IF(O436="Win",M436,IF(O436="Loss",-L436,""))</f>
        <v/>
      </c>
      <c r="O436" s="4"/>
      <c r="P436" s="3"/>
      <c r="Q436" s="4">
        <f>IF(SUM(N$2:N436)="",Dashboard!B3,Dashboard!B3+SUM(N$2:N436))</f>
        <v>4972</v>
      </c>
      <c r="R436" s="3"/>
    </row>
    <row r="437" spans="1:18">
      <c r="A437" s="3"/>
      <c r="B437" s="3"/>
      <c r="C437" s="3"/>
      <c r="D437" s="3"/>
      <c r="E437" s="3"/>
      <c r="F437" s="3"/>
      <c r="G437" s="3"/>
      <c r="H437" s="3"/>
      <c r="I437" s="4"/>
      <c r="J437" s="4"/>
      <c r="K437" s="4"/>
      <c r="L437" s="4">
        <f>K437*100*I437</f>
        <v>0</v>
      </c>
      <c r="M437" s="4">
        <f>K437*100*J437</f>
        <v>0</v>
      </c>
      <c r="N437" s="4" t="str">
        <f>IF(O437="Win",M437,IF(O437="Loss",-L437,""))</f>
        <v/>
      </c>
      <c r="O437" s="4"/>
      <c r="P437" s="3"/>
      <c r="Q437" s="4">
        <f>IF(SUM(N$2:N437)="",Dashboard!B3,Dashboard!B3+SUM(N$2:N437))</f>
        <v>4972</v>
      </c>
      <c r="R437" s="3"/>
    </row>
    <row r="438" spans="1:18">
      <c r="A438" s="3"/>
      <c r="B438" s="3"/>
      <c r="C438" s="3"/>
      <c r="D438" s="3"/>
      <c r="E438" s="3"/>
      <c r="F438" s="3"/>
      <c r="G438" s="3"/>
      <c r="H438" s="3"/>
      <c r="I438" s="4"/>
      <c r="J438" s="4"/>
      <c r="K438" s="4"/>
      <c r="L438" s="4">
        <f>K438*100*I438</f>
        <v>0</v>
      </c>
      <c r="M438" s="4">
        <f>K438*100*J438</f>
        <v>0</v>
      </c>
      <c r="N438" s="4" t="str">
        <f>IF(O438="Win",M438,IF(O438="Loss",-L438,""))</f>
        <v/>
      </c>
      <c r="O438" s="4"/>
      <c r="P438" s="3"/>
      <c r="Q438" s="4">
        <f>IF(SUM(N$2:N438)="",Dashboard!B3,Dashboard!B3+SUM(N$2:N438))</f>
        <v>4972</v>
      </c>
      <c r="R438" s="3"/>
    </row>
    <row r="439" spans="1:18">
      <c r="A439" s="3"/>
      <c r="B439" s="3"/>
      <c r="C439" s="3"/>
      <c r="D439" s="3"/>
      <c r="E439" s="3"/>
      <c r="F439" s="3"/>
      <c r="G439" s="3"/>
      <c r="H439" s="3"/>
      <c r="I439" s="4"/>
      <c r="J439" s="4"/>
      <c r="K439" s="4"/>
      <c r="L439" s="4">
        <f>K439*100*I439</f>
        <v>0</v>
      </c>
      <c r="M439" s="4">
        <f>K439*100*J439</f>
        <v>0</v>
      </c>
      <c r="N439" s="4" t="str">
        <f>IF(O439="Win",M439,IF(O439="Loss",-L439,""))</f>
        <v/>
      </c>
      <c r="O439" s="4"/>
      <c r="P439" s="3"/>
      <c r="Q439" s="4">
        <f>IF(SUM(N$2:N439)="",Dashboard!B3,Dashboard!B3+SUM(N$2:N439))</f>
        <v>4972</v>
      </c>
      <c r="R439" s="3"/>
    </row>
    <row r="440" spans="1:18">
      <c r="A440" s="3"/>
      <c r="B440" s="3"/>
      <c r="C440" s="3"/>
      <c r="D440" s="3"/>
      <c r="E440" s="3"/>
      <c r="F440" s="3"/>
      <c r="G440" s="3"/>
      <c r="H440" s="3"/>
      <c r="I440" s="4"/>
      <c r="J440" s="4"/>
      <c r="K440" s="4"/>
      <c r="L440" s="4">
        <f>K440*100*I440</f>
        <v>0</v>
      </c>
      <c r="M440" s="4">
        <f>K440*100*J440</f>
        <v>0</v>
      </c>
      <c r="N440" s="4" t="str">
        <f>IF(O440="Win",M440,IF(O440="Loss",-L440,""))</f>
        <v/>
      </c>
      <c r="O440" s="4"/>
      <c r="P440" s="3"/>
      <c r="Q440" s="4">
        <f>IF(SUM(N$2:N440)="",Dashboard!B3,Dashboard!B3+SUM(N$2:N440))</f>
        <v>4972</v>
      </c>
      <c r="R440" s="3"/>
    </row>
    <row r="441" spans="1:18">
      <c r="A441" s="3"/>
      <c r="B441" s="3"/>
      <c r="C441" s="3"/>
      <c r="D441" s="3"/>
      <c r="E441" s="3"/>
      <c r="F441" s="3"/>
      <c r="G441" s="3"/>
      <c r="H441" s="3"/>
      <c r="I441" s="4"/>
      <c r="J441" s="4"/>
      <c r="K441" s="4"/>
      <c r="L441" s="4">
        <f>K441*100*I441</f>
        <v>0</v>
      </c>
      <c r="M441" s="4">
        <f>K441*100*J441</f>
        <v>0</v>
      </c>
      <c r="N441" s="4" t="str">
        <f>IF(O441="Win",M441,IF(O441="Loss",-L441,""))</f>
        <v/>
      </c>
      <c r="O441" s="4"/>
      <c r="P441" s="3"/>
      <c r="Q441" s="4">
        <f>IF(SUM(N$2:N441)="",Dashboard!B3,Dashboard!B3+SUM(N$2:N441))</f>
        <v>4972</v>
      </c>
      <c r="R441" s="3"/>
    </row>
    <row r="442" spans="1:18">
      <c r="A442" s="3"/>
      <c r="B442" s="3"/>
      <c r="C442" s="3"/>
      <c r="D442" s="3"/>
      <c r="E442" s="3"/>
      <c r="F442" s="3"/>
      <c r="G442" s="3"/>
      <c r="H442" s="3"/>
      <c r="I442" s="4"/>
      <c r="J442" s="4"/>
      <c r="K442" s="4"/>
      <c r="L442" s="4">
        <f>K442*100*I442</f>
        <v>0</v>
      </c>
      <c r="M442" s="4">
        <f>K442*100*J442</f>
        <v>0</v>
      </c>
      <c r="N442" s="4" t="str">
        <f>IF(O442="Win",M442,IF(O442="Loss",-L442,""))</f>
        <v/>
      </c>
      <c r="O442" s="4"/>
      <c r="P442" s="3"/>
      <c r="Q442" s="4">
        <f>IF(SUM(N$2:N442)="",Dashboard!B3,Dashboard!B3+SUM(N$2:N442))</f>
        <v>4972</v>
      </c>
      <c r="R442" s="3"/>
    </row>
    <row r="443" spans="1:18">
      <c r="A443" s="3"/>
      <c r="B443" s="3"/>
      <c r="C443" s="3"/>
      <c r="D443" s="3"/>
      <c r="E443" s="3"/>
      <c r="F443" s="3"/>
      <c r="G443" s="3"/>
      <c r="H443" s="3"/>
      <c r="I443" s="4"/>
      <c r="J443" s="4"/>
      <c r="K443" s="4"/>
      <c r="L443" s="4">
        <f>K443*100*I443</f>
        <v>0</v>
      </c>
      <c r="M443" s="4">
        <f>K443*100*J443</f>
        <v>0</v>
      </c>
      <c r="N443" s="4" t="str">
        <f>IF(O443="Win",M443,IF(O443="Loss",-L443,""))</f>
        <v/>
      </c>
      <c r="O443" s="4"/>
      <c r="P443" s="3"/>
      <c r="Q443" s="4">
        <f>IF(SUM(N$2:N443)="",Dashboard!B3,Dashboard!B3+SUM(N$2:N443))</f>
        <v>4972</v>
      </c>
      <c r="R443" s="3"/>
    </row>
    <row r="444" spans="1:18">
      <c r="A444" s="3"/>
      <c r="B444" s="3"/>
      <c r="C444" s="3"/>
      <c r="D444" s="3"/>
      <c r="E444" s="3"/>
      <c r="F444" s="3"/>
      <c r="G444" s="3"/>
      <c r="H444" s="3"/>
      <c r="I444" s="4"/>
      <c r="J444" s="4"/>
      <c r="K444" s="4"/>
      <c r="L444" s="4">
        <f>K444*100*I444</f>
        <v>0</v>
      </c>
      <c r="M444" s="4">
        <f>K444*100*J444</f>
        <v>0</v>
      </c>
      <c r="N444" s="4" t="str">
        <f>IF(O444="Win",M444,IF(O444="Loss",-L444,""))</f>
        <v/>
      </c>
      <c r="O444" s="4"/>
      <c r="P444" s="3"/>
      <c r="Q444" s="4">
        <f>IF(SUM(N$2:N444)="",Dashboard!B3,Dashboard!B3+SUM(N$2:N444))</f>
        <v>4972</v>
      </c>
      <c r="R444" s="3"/>
    </row>
    <row r="445" spans="1:18">
      <c r="A445" s="3"/>
      <c r="B445" s="3"/>
      <c r="C445" s="3"/>
      <c r="D445" s="3"/>
      <c r="E445" s="3"/>
      <c r="F445" s="3"/>
      <c r="G445" s="3"/>
      <c r="H445" s="3"/>
      <c r="I445" s="4"/>
      <c r="J445" s="4"/>
      <c r="K445" s="4"/>
      <c r="L445" s="4">
        <f>K445*100*I445</f>
        <v>0</v>
      </c>
      <c r="M445" s="4">
        <f>K445*100*J445</f>
        <v>0</v>
      </c>
      <c r="N445" s="4" t="str">
        <f>IF(O445="Win",M445,IF(O445="Loss",-L445,""))</f>
        <v/>
      </c>
      <c r="O445" s="4"/>
      <c r="P445" s="3"/>
      <c r="Q445" s="4">
        <f>IF(SUM(N$2:N445)="",Dashboard!B3,Dashboard!B3+SUM(N$2:N445))</f>
        <v>4972</v>
      </c>
      <c r="R445" s="3"/>
    </row>
    <row r="446" spans="1:18">
      <c r="A446" s="3"/>
      <c r="B446" s="3"/>
      <c r="C446" s="3"/>
      <c r="D446" s="3"/>
      <c r="E446" s="3"/>
      <c r="F446" s="3"/>
      <c r="G446" s="3"/>
      <c r="H446" s="3"/>
      <c r="I446" s="4"/>
      <c r="J446" s="4"/>
      <c r="K446" s="4"/>
      <c r="L446" s="4">
        <f>K446*100*I446</f>
        <v>0</v>
      </c>
      <c r="M446" s="4">
        <f>K446*100*J446</f>
        <v>0</v>
      </c>
      <c r="N446" s="4" t="str">
        <f>IF(O446="Win",M446,IF(O446="Loss",-L446,""))</f>
        <v/>
      </c>
      <c r="O446" s="4"/>
      <c r="P446" s="3"/>
      <c r="Q446" s="4">
        <f>IF(SUM(N$2:N446)="",Dashboard!B3,Dashboard!B3+SUM(N$2:N446))</f>
        <v>4972</v>
      </c>
      <c r="R446" s="3"/>
    </row>
    <row r="447" spans="1:18">
      <c r="A447" s="3"/>
      <c r="B447" s="3"/>
      <c r="C447" s="3"/>
      <c r="D447" s="3"/>
      <c r="E447" s="3"/>
      <c r="F447" s="3"/>
      <c r="G447" s="3"/>
      <c r="H447" s="3"/>
      <c r="I447" s="4"/>
      <c r="J447" s="4"/>
      <c r="K447" s="4"/>
      <c r="L447" s="4">
        <f>K447*100*I447</f>
        <v>0</v>
      </c>
      <c r="M447" s="4">
        <f>K447*100*J447</f>
        <v>0</v>
      </c>
      <c r="N447" s="4" t="str">
        <f>IF(O447="Win",M447,IF(O447="Loss",-L447,""))</f>
        <v/>
      </c>
      <c r="O447" s="4"/>
      <c r="P447" s="3"/>
      <c r="Q447" s="4">
        <f>IF(SUM(N$2:N447)="",Dashboard!B3,Dashboard!B3+SUM(N$2:N447))</f>
        <v>4972</v>
      </c>
      <c r="R447" s="3"/>
    </row>
    <row r="448" spans="1:18">
      <c r="A448" s="3"/>
      <c r="B448" s="3"/>
      <c r="C448" s="3"/>
      <c r="D448" s="3"/>
      <c r="E448" s="3"/>
      <c r="F448" s="3"/>
      <c r="G448" s="3"/>
      <c r="H448" s="3"/>
      <c r="I448" s="4"/>
      <c r="J448" s="4"/>
      <c r="K448" s="4"/>
      <c r="L448" s="4">
        <f>K448*100*I448</f>
        <v>0</v>
      </c>
      <c r="M448" s="4">
        <f>K448*100*J448</f>
        <v>0</v>
      </c>
      <c r="N448" s="4" t="str">
        <f>IF(O448="Win",M448,IF(O448="Loss",-L448,""))</f>
        <v/>
      </c>
      <c r="O448" s="4"/>
      <c r="P448" s="3"/>
      <c r="Q448" s="4">
        <f>IF(SUM(N$2:N448)="",Dashboard!B3,Dashboard!B3+SUM(N$2:N448))</f>
        <v>4972</v>
      </c>
      <c r="R448" s="3"/>
    </row>
    <row r="449" spans="1:18">
      <c r="A449" s="3"/>
      <c r="B449" s="3"/>
      <c r="C449" s="3"/>
      <c r="D449" s="3"/>
      <c r="E449" s="3"/>
      <c r="F449" s="3"/>
      <c r="G449" s="3"/>
      <c r="H449" s="3"/>
      <c r="I449" s="4"/>
      <c r="J449" s="4"/>
      <c r="K449" s="4"/>
      <c r="L449" s="4">
        <f>K449*100*I449</f>
        <v>0</v>
      </c>
      <c r="M449" s="4">
        <f>K449*100*J449</f>
        <v>0</v>
      </c>
      <c r="N449" s="4" t="str">
        <f>IF(O449="Win",M449,IF(O449="Loss",-L449,""))</f>
        <v/>
      </c>
      <c r="O449" s="4"/>
      <c r="P449" s="3"/>
      <c r="Q449" s="4">
        <f>IF(SUM(N$2:N449)="",Dashboard!B3,Dashboard!B3+SUM(N$2:N449))</f>
        <v>4972</v>
      </c>
      <c r="R449" s="3"/>
    </row>
    <row r="450" spans="1:18">
      <c r="A450" s="3"/>
      <c r="B450" s="3"/>
      <c r="C450" s="3"/>
      <c r="D450" s="3"/>
      <c r="E450" s="3"/>
      <c r="F450" s="3"/>
      <c r="G450" s="3"/>
      <c r="H450" s="3"/>
      <c r="I450" s="4"/>
      <c r="J450" s="4"/>
      <c r="K450" s="4"/>
      <c r="L450" s="4">
        <f>K450*100*I450</f>
        <v>0</v>
      </c>
      <c r="M450" s="4">
        <f>K450*100*J450</f>
        <v>0</v>
      </c>
      <c r="N450" s="4" t="str">
        <f>IF(O450="Win",M450,IF(O450="Loss",-L450,""))</f>
        <v/>
      </c>
      <c r="O450" s="4"/>
      <c r="P450" s="3"/>
      <c r="Q450" s="4">
        <f>IF(SUM(N$2:N450)="",Dashboard!B3,Dashboard!B3+SUM(N$2:N450))</f>
        <v>4972</v>
      </c>
      <c r="R450" s="3"/>
    </row>
    <row r="451" spans="1:18">
      <c r="A451" s="3"/>
      <c r="B451" s="3"/>
      <c r="C451" s="3"/>
      <c r="D451" s="3"/>
      <c r="E451" s="3"/>
      <c r="F451" s="3"/>
      <c r="G451" s="3"/>
      <c r="H451" s="3"/>
      <c r="I451" s="4"/>
      <c r="J451" s="4"/>
      <c r="K451" s="4"/>
      <c r="L451" s="4">
        <f>K451*100*I451</f>
        <v>0</v>
      </c>
      <c r="M451" s="4">
        <f>K451*100*J451</f>
        <v>0</v>
      </c>
      <c r="N451" s="4" t="str">
        <f>IF(O451="Win",M451,IF(O451="Loss",-L451,""))</f>
        <v/>
      </c>
      <c r="O451" s="4"/>
      <c r="P451" s="3"/>
      <c r="Q451" s="4">
        <f>IF(SUM(N$2:N451)="",Dashboard!B3,Dashboard!B3+SUM(N$2:N451))</f>
        <v>4972</v>
      </c>
      <c r="R451" s="3"/>
    </row>
    <row r="452" spans="1:18">
      <c r="A452" s="3"/>
      <c r="B452" s="3"/>
      <c r="C452" s="3"/>
      <c r="D452" s="3"/>
      <c r="E452" s="3"/>
      <c r="F452" s="3"/>
      <c r="G452" s="3"/>
      <c r="H452" s="3"/>
      <c r="I452" s="4"/>
      <c r="J452" s="4"/>
      <c r="K452" s="4"/>
      <c r="L452" s="4">
        <f>K452*100*I452</f>
        <v>0</v>
      </c>
      <c r="M452" s="4">
        <f>K452*100*J452</f>
        <v>0</v>
      </c>
      <c r="N452" s="4" t="str">
        <f>IF(O452="Win",M452,IF(O452="Loss",-L452,""))</f>
        <v/>
      </c>
      <c r="O452" s="4"/>
      <c r="P452" s="3"/>
      <c r="Q452" s="4">
        <f>IF(SUM(N$2:N452)="",Dashboard!B3,Dashboard!B3+SUM(N$2:N452))</f>
        <v>4972</v>
      </c>
      <c r="R452" s="3"/>
    </row>
    <row r="453" spans="1:18">
      <c r="A453" s="3"/>
      <c r="B453" s="3"/>
      <c r="C453" s="3"/>
      <c r="D453" s="3"/>
      <c r="E453" s="3"/>
      <c r="F453" s="3"/>
      <c r="G453" s="3"/>
      <c r="H453" s="3"/>
      <c r="I453" s="4"/>
      <c r="J453" s="4"/>
      <c r="K453" s="4"/>
      <c r="L453" s="4">
        <f>K453*100*I453</f>
        <v>0</v>
      </c>
      <c r="M453" s="4">
        <f>K453*100*J453</f>
        <v>0</v>
      </c>
      <c r="N453" s="4" t="str">
        <f>IF(O453="Win",M453,IF(O453="Loss",-L453,""))</f>
        <v/>
      </c>
      <c r="O453" s="4"/>
      <c r="P453" s="3"/>
      <c r="Q453" s="4">
        <f>IF(SUM(N$2:N453)="",Dashboard!B3,Dashboard!B3+SUM(N$2:N453))</f>
        <v>4972</v>
      </c>
      <c r="R453" s="3"/>
    </row>
    <row r="454" spans="1:18">
      <c r="A454" s="3"/>
      <c r="B454" s="3"/>
      <c r="C454" s="3"/>
      <c r="D454" s="3"/>
      <c r="E454" s="3"/>
      <c r="F454" s="3"/>
      <c r="G454" s="3"/>
      <c r="H454" s="3"/>
      <c r="I454" s="4"/>
      <c r="J454" s="4"/>
      <c r="K454" s="4"/>
      <c r="L454" s="4">
        <f>K454*100*I454</f>
        <v>0</v>
      </c>
      <c r="M454" s="4">
        <f>K454*100*J454</f>
        <v>0</v>
      </c>
      <c r="N454" s="4" t="str">
        <f>IF(O454="Win",M454,IF(O454="Loss",-L454,""))</f>
        <v/>
      </c>
      <c r="O454" s="4"/>
      <c r="P454" s="3"/>
      <c r="Q454" s="4">
        <f>IF(SUM(N$2:N454)="",Dashboard!B3,Dashboard!B3+SUM(N$2:N454))</f>
        <v>4972</v>
      </c>
      <c r="R454" s="3"/>
    </row>
    <row r="455" spans="1:18">
      <c r="A455" s="3"/>
      <c r="B455" s="3"/>
      <c r="C455" s="3"/>
      <c r="D455" s="3"/>
      <c r="E455" s="3"/>
      <c r="F455" s="3"/>
      <c r="G455" s="3"/>
      <c r="H455" s="3"/>
      <c r="I455" s="4"/>
      <c r="J455" s="4"/>
      <c r="K455" s="4"/>
      <c r="L455" s="4">
        <f>K455*100*I455</f>
        <v>0</v>
      </c>
      <c r="M455" s="4">
        <f>K455*100*J455</f>
        <v>0</v>
      </c>
      <c r="N455" s="4" t="str">
        <f>IF(O455="Win",M455,IF(O455="Loss",-L455,""))</f>
        <v/>
      </c>
      <c r="O455" s="4"/>
      <c r="P455" s="3"/>
      <c r="Q455" s="4">
        <f>IF(SUM(N$2:N455)="",Dashboard!B3,Dashboard!B3+SUM(N$2:N455))</f>
        <v>4972</v>
      </c>
      <c r="R455" s="3"/>
    </row>
    <row r="456" spans="1:18">
      <c r="A456" s="3"/>
      <c r="B456" s="3"/>
      <c r="C456" s="3"/>
      <c r="D456" s="3"/>
      <c r="E456" s="3"/>
      <c r="F456" s="3"/>
      <c r="G456" s="3"/>
      <c r="H456" s="3"/>
      <c r="I456" s="4"/>
      <c r="J456" s="4"/>
      <c r="K456" s="4"/>
      <c r="L456" s="4">
        <f>K456*100*I456</f>
        <v>0</v>
      </c>
      <c r="M456" s="4">
        <f>K456*100*J456</f>
        <v>0</v>
      </c>
      <c r="N456" s="4" t="str">
        <f>IF(O456="Win",M456,IF(O456="Loss",-L456,""))</f>
        <v/>
      </c>
      <c r="O456" s="4"/>
      <c r="P456" s="3"/>
      <c r="Q456" s="4">
        <f>IF(SUM(N$2:N456)="",Dashboard!B3,Dashboard!B3+SUM(N$2:N456))</f>
        <v>4972</v>
      </c>
      <c r="R456" s="3"/>
    </row>
    <row r="457" spans="1:18">
      <c r="A457" s="3"/>
      <c r="B457" s="3"/>
      <c r="C457" s="3"/>
      <c r="D457" s="3"/>
      <c r="E457" s="3"/>
      <c r="F457" s="3"/>
      <c r="G457" s="3"/>
      <c r="H457" s="3"/>
      <c r="I457" s="4"/>
      <c r="J457" s="4"/>
      <c r="K457" s="4"/>
      <c r="L457" s="4">
        <f>K457*100*I457</f>
        <v>0</v>
      </c>
      <c r="M457" s="4">
        <f>K457*100*J457</f>
        <v>0</v>
      </c>
      <c r="N457" s="4" t="str">
        <f>IF(O457="Win",M457,IF(O457="Loss",-L457,""))</f>
        <v/>
      </c>
      <c r="O457" s="4"/>
      <c r="P457" s="3"/>
      <c r="Q457" s="4">
        <f>IF(SUM(N$2:N457)="",Dashboard!B3,Dashboard!B3+SUM(N$2:N457))</f>
        <v>4972</v>
      </c>
      <c r="R457" s="3"/>
    </row>
    <row r="458" spans="1:18">
      <c r="A458" s="3"/>
      <c r="B458" s="3"/>
      <c r="C458" s="3"/>
      <c r="D458" s="3"/>
      <c r="E458" s="3"/>
      <c r="F458" s="3"/>
      <c r="G458" s="3"/>
      <c r="H458" s="3"/>
      <c r="I458" s="4"/>
      <c r="J458" s="4"/>
      <c r="K458" s="4"/>
      <c r="L458" s="4">
        <f>K458*100*I458</f>
        <v>0</v>
      </c>
      <c r="M458" s="4">
        <f>K458*100*J458</f>
        <v>0</v>
      </c>
      <c r="N458" s="4" t="str">
        <f>IF(O458="Win",M458,IF(O458="Loss",-L458,""))</f>
        <v/>
      </c>
      <c r="O458" s="4"/>
      <c r="P458" s="3"/>
      <c r="Q458" s="4">
        <f>IF(SUM(N$2:N458)="",Dashboard!B3,Dashboard!B3+SUM(N$2:N458))</f>
        <v>4972</v>
      </c>
      <c r="R458" s="3"/>
    </row>
    <row r="459" spans="1:18">
      <c r="A459" s="3"/>
      <c r="B459" s="3"/>
      <c r="C459" s="3"/>
      <c r="D459" s="3"/>
      <c r="E459" s="3"/>
      <c r="F459" s="3"/>
      <c r="G459" s="3"/>
      <c r="H459" s="3"/>
      <c r="I459" s="4"/>
      <c r="J459" s="4"/>
      <c r="K459" s="4"/>
      <c r="L459" s="4">
        <f>K459*100*I459</f>
        <v>0</v>
      </c>
      <c r="M459" s="4">
        <f>K459*100*J459</f>
        <v>0</v>
      </c>
      <c r="N459" s="4" t="str">
        <f>IF(O459="Win",M459,IF(O459="Loss",-L459,""))</f>
        <v/>
      </c>
      <c r="O459" s="4"/>
      <c r="P459" s="3"/>
      <c r="Q459" s="4">
        <f>IF(SUM(N$2:N459)="",Dashboard!B3,Dashboard!B3+SUM(N$2:N459))</f>
        <v>4972</v>
      </c>
      <c r="R459" s="3"/>
    </row>
    <row r="460" spans="1:18">
      <c r="A460" s="3"/>
      <c r="B460" s="3"/>
      <c r="C460" s="3"/>
      <c r="D460" s="3"/>
      <c r="E460" s="3"/>
      <c r="F460" s="3"/>
      <c r="G460" s="3"/>
      <c r="H460" s="3"/>
      <c r="I460" s="4"/>
      <c r="J460" s="4"/>
      <c r="K460" s="4"/>
      <c r="L460" s="4">
        <f>K460*100*I460</f>
        <v>0</v>
      </c>
      <c r="M460" s="4">
        <f>K460*100*J460</f>
        <v>0</v>
      </c>
      <c r="N460" s="4" t="str">
        <f>IF(O460="Win",M460,IF(O460="Loss",-L460,""))</f>
        <v/>
      </c>
      <c r="O460" s="4"/>
      <c r="P460" s="3"/>
      <c r="Q460" s="4">
        <f>IF(SUM(N$2:N460)="",Dashboard!B3,Dashboard!B3+SUM(N$2:N460))</f>
        <v>4972</v>
      </c>
      <c r="R460" s="3"/>
    </row>
    <row r="461" spans="1:18">
      <c r="A461" s="3"/>
      <c r="B461" s="3"/>
      <c r="C461" s="3"/>
      <c r="D461" s="3"/>
      <c r="E461" s="3"/>
      <c r="F461" s="3"/>
      <c r="G461" s="3"/>
      <c r="H461" s="3"/>
      <c r="I461" s="4"/>
      <c r="J461" s="4"/>
      <c r="K461" s="4"/>
      <c r="L461" s="4">
        <f>K461*100*I461</f>
        <v>0</v>
      </c>
      <c r="M461" s="4">
        <f>K461*100*J461</f>
        <v>0</v>
      </c>
      <c r="N461" s="4" t="str">
        <f>IF(O461="Win",M461,IF(O461="Loss",-L461,""))</f>
        <v/>
      </c>
      <c r="O461" s="4"/>
      <c r="P461" s="3"/>
      <c r="Q461" s="4">
        <f>IF(SUM(N$2:N461)="",Dashboard!B3,Dashboard!B3+SUM(N$2:N461))</f>
        <v>4972</v>
      </c>
      <c r="R461" s="3"/>
    </row>
    <row r="462" spans="1:18">
      <c r="A462" s="3"/>
      <c r="B462" s="3"/>
      <c r="C462" s="3"/>
      <c r="D462" s="3"/>
      <c r="E462" s="3"/>
      <c r="F462" s="3"/>
      <c r="G462" s="3"/>
      <c r="H462" s="3"/>
      <c r="I462" s="4"/>
      <c r="J462" s="4"/>
      <c r="K462" s="4"/>
      <c r="L462" s="4">
        <f>K462*100*I462</f>
        <v>0</v>
      </c>
      <c r="M462" s="4">
        <f>K462*100*J462</f>
        <v>0</v>
      </c>
      <c r="N462" s="4" t="str">
        <f>IF(O462="Win",M462,IF(O462="Loss",-L462,""))</f>
        <v/>
      </c>
      <c r="O462" s="4"/>
      <c r="P462" s="3"/>
      <c r="Q462" s="4">
        <f>IF(SUM(N$2:N462)="",Dashboard!B3,Dashboard!B3+SUM(N$2:N462))</f>
        <v>4972</v>
      </c>
      <c r="R462" s="3"/>
    </row>
    <row r="463" spans="1:18">
      <c r="A463" s="3"/>
      <c r="B463" s="3"/>
      <c r="C463" s="3"/>
      <c r="D463" s="3"/>
      <c r="E463" s="3"/>
      <c r="F463" s="3"/>
      <c r="G463" s="3"/>
      <c r="H463" s="3"/>
      <c r="I463" s="4"/>
      <c r="J463" s="4"/>
      <c r="K463" s="4"/>
      <c r="L463" s="4">
        <f>K463*100*I463</f>
        <v>0</v>
      </c>
      <c r="M463" s="4">
        <f>K463*100*J463</f>
        <v>0</v>
      </c>
      <c r="N463" s="4" t="str">
        <f>IF(O463="Win",M463,IF(O463="Loss",-L463,""))</f>
        <v/>
      </c>
      <c r="O463" s="4"/>
      <c r="P463" s="3"/>
      <c r="Q463" s="4">
        <f>IF(SUM(N$2:N463)="",Dashboard!B3,Dashboard!B3+SUM(N$2:N463))</f>
        <v>4972</v>
      </c>
      <c r="R463" s="3"/>
    </row>
    <row r="464" spans="1:18">
      <c r="A464" s="3"/>
      <c r="B464" s="3"/>
      <c r="C464" s="3"/>
      <c r="D464" s="3"/>
      <c r="E464" s="3"/>
      <c r="F464" s="3"/>
      <c r="G464" s="3"/>
      <c r="H464" s="3"/>
      <c r="I464" s="4"/>
      <c r="J464" s="4"/>
      <c r="K464" s="4"/>
      <c r="L464" s="4">
        <f>K464*100*I464</f>
        <v>0</v>
      </c>
      <c r="M464" s="4">
        <f>K464*100*J464</f>
        <v>0</v>
      </c>
      <c r="N464" s="4" t="str">
        <f>IF(O464="Win",M464,IF(O464="Loss",-L464,""))</f>
        <v/>
      </c>
      <c r="O464" s="4"/>
      <c r="P464" s="3"/>
      <c r="Q464" s="4">
        <f>IF(SUM(N$2:N464)="",Dashboard!B3,Dashboard!B3+SUM(N$2:N464))</f>
        <v>4972</v>
      </c>
      <c r="R464" s="3"/>
    </row>
    <row r="465" spans="1:18">
      <c r="A465" s="3"/>
      <c r="B465" s="3"/>
      <c r="C465" s="3"/>
      <c r="D465" s="3"/>
      <c r="E465" s="3"/>
      <c r="F465" s="3"/>
      <c r="G465" s="3"/>
      <c r="H465" s="3"/>
      <c r="I465" s="4"/>
      <c r="J465" s="4"/>
      <c r="K465" s="4"/>
      <c r="L465" s="4">
        <f>K465*100*I465</f>
        <v>0</v>
      </c>
      <c r="M465" s="4">
        <f>K465*100*J465</f>
        <v>0</v>
      </c>
      <c r="N465" s="4" t="str">
        <f>IF(O465="Win",M465,IF(O465="Loss",-L465,""))</f>
        <v/>
      </c>
      <c r="O465" s="4"/>
      <c r="P465" s="3"/>
      <c r="Q465" s="4">
        <f>IF(SUM(N$2:N465)="",Dashboard!B3,Dashboard!B3+SUM(N$2:N465))</f>
        <v>4972</v>
      </c>
      <c r="R465" s="3"/>
    </row>
    <row r="466" spans="1:18">
      <c r="A466" s="3"/>
      <c r="B466" s="3"/>
      <c r="C466" s="3"/>
      <c r="D466" s="3"/>
      <c r="E466" s="3"/>
      <c r="F466" s="3"/>
      <c r="G466" s="3"/>
      <c r="H466" s="3"/>
      <c r="I466" s="4"/>
      <c r="J466" s="4"/>
      <c r="K466" s="4"/>
      <c r="L466" s="4">
        <f>K466*100*I466</f>
        <v>0</v>
      </c>
      <c r="M466" s="4">
        <f>K466*100*J466</f>
        <v>0</v>
      </c>
      <c r="N466" s="4" t="str">
        <f>IF(O466="Win",M466,IF(O466="Loss",-L466,""))</f>
        <v/>
      </c>
      <c r="O466" s="4"/>
      <c r="P466" s="3"/>
      <c r="Q466" s="4">
        <f>IF(SUM(N$2:N466)="",Dashboard!B3,Dashboard!B3+SUM(N$2:N466))</f>
        <v>4972</v>
      </c>
      <c r="R466" s="3"/>
    </row>
    <row r="467" spans="1:18">
      <c r="A467" s="3"/>
      <c r="B467" s="3"/>
      <c r="C467" s="3"/>
      <c r="D467" s="3"/>
      <c r="E467" s="3"/>
      <c r="F467" s="3"/>
      <c r="G467" s="3"/>
      <c r="H467" s="3"/>
      <c r="I467" s="4"/>
      <c r="J467" s="4"/>
      <c r="K467" s="4"/>
      <c r="L467" s="4">
        <f>K467*100*I467</f>
        <v>0</v>
      </c>
      <c r="M467" s="4">
        <f>K467*100*J467</f>
        <v>0</v>
      </c>
      <c r="N467" s="4" t="str">
        <f>IF(O467="Win",M467,IF(O467="Loss",-L467,""))</f>
        <v/>
      </c>
      <c r="O467" s="4"/>
      <c r="P467" s="3"/>
      <c r="Q467" s="4">
        <f>IF(SUM(N$2:N467)="",Dashboard!B3,Dashboard!B3+SUM(N$2:N467))</f>
        <v>4972</v>
      </c>
      <c r="R467" s="3"/>
    </row>
    <row r="468" spans="1:18">
      <c r="A468" s="3"/>
      <c r="B468" s="3"/>
      <c r="C468" s="3"/>
      <c r="D468" s="3"/>
      <c r="E468" s="3"/>
      <c r="F468" s="3"/>
      <c r="G468" s="3"/>
      <c r="H468" s="3"/>
      <c r="I468" s="4"/>
      <c r="J468" s="4"/>
      <c r="K468" s="4"/>
      <c r="L468" s="4">
        <f>K468*100*I468</f>
        <v>0</v>
      </c>
      <c r="M468" s="4">
        <f>K468*100*J468</f>
        <v>0</v>
      </c>
      <c r="N468" s="4" t="str">
        <f>IF(O468="Win",M468,IF(O468="Loss",-L468,""))</f>
        <v/>
      </c>
      <c r="O468" s="4"/>
      <c r="P468" s="3"/>
      <c r="Q468" s="4">
        <f>IF(SUM(N$2:N468)="",Dashboard!B3,Dashboard!B3+SUM(N$2:N468))</f>
        <v>4972</v>
      </c>
      <c r="R468" s="3"/>
    </row>
    <row r="469" spans="1:18">
      <c r="A469" s="3"/>
      <c r="B469" s="3"/>
      <c r="C469" s="3"/>
      <c r="D469" s="3"/>
      <c r="E469" s="3"/>
      <c r="F469" s="3"/>
      <c r="G469" s="3"/>
      <c r="H469" s="3"/>
      <c r="I469" s="4"/>
      <c r="J469" s="4"/>
      <c r="K469" s="4"/>
      <c r="L469" s="4">
        <f>K469*100*I469</f>
        <v>0</v>
      </c>
      <c r="M469" s="4">
        <f>K469*100*J469</f>
        <v>0</v>
      </c>
      <c r="N469" s="4" t="str">
        <f>IF(O469="Win",M469,IF(O469="Loss",-L469,""))</f>
        <v/>
      </c>
      <c r="O469" s="4"/>
      <c r="P469" s="3"/>
      <c r="Q469" s="4">
        <f>IF(SUM(N$2:N469)="",Dashboard!B3,Dashboard!B3+SUM(N$2:N469))</f>
        <v>4972</v>
      </c>
      <c r="R469" s="3"/>
    </row>
    <row r="470" spans="1:18">
      <c r="A470" s="3"/>
      <c r="B470" s="3"/>
      <c r="C470" s="3"/>
      <c r="D470" s="3"/>
      <c r="E470" s="3"/>
      <c r="F470" s="3"/>
      <c r="G470" s="3"/>
      <c r="H470" s="3"/>
      <c r="I470" s="4"/>
      <c r="J470" s="4"/>
      <c r="K470" s="4"/>
      <c r="L470" s="4">
        <f>K470*100*I470</f>
        <v>0</v>
      </c>
      <c r="M470" s="4">
        <f>K470*100*J470</f>
        <v>0</v>
      </c>
      <c r="N470" s="4" t="str">
        <f>IF(O470="Win",M470,IF(O470="Loss",-L470,""))</f>
        <v/>
      </c>
      <c r="O470" s="4"/>
      <c r="P470" s="3"/>
      <c r="Q470" s="4">
        <f>IF(SUM(N$2:N470)="",Dashboard!B3,Dashboard!B3+SUM(N$2:N470))</f>
        <v>4972</v>
      </c>
      <c r="R470" s="3"/>
    </row>
    <row r="471" spans="1:18">
      <c r="A471" s="3"/>
      <c r="B471" s="3"/>
      <c r="C471" s="3"/>
      <c r="D471" s="3"/>
      <c r="E471" s="3"/>
      <c r="F471" s="3"/>
      <c r="G471" s="3"/>
      <c r="H471" s="3"/>
      <c r="I471" s="4"/>
      <c r="J471" s="4"/>
      <c r="K471" s="4"/>
      <c r="L471" s="4">
        <f>K471*100*I471</f>
        <v>0</v>
      </c>
      <c r="M471" s="4">
        <f>K471*100*J471</f>
        <v>0</v>
      </c>
      <c r="N471" s="4" t="str">
        <f>IF(O471="Win",M471,IF(O471="Loss",-L471,""))</f>
        <v/>
      </c>
      <c r="O471" s="4"/>
      <c r="P471" s="3"/>
      <c r="Q471" s="4">
        <f>IF(SUM(N$2:N471)="",Dashboard!B3,Dashboard!B3+SUM(N$2:N471))</f>
        <v>4972</v>
      </c>
      <c r="R471" s="3"/>
    </row>
    <row r="472" spans="1:18">
      <c r="A472" s="3"/>
      <c r="B472" s="3"/>
      <c r="C472" s="3"/>
      <c r="D472" s="3"/>
      <c r="E472" s="3"/>
      <c r="F472" s="3"/>
      <c r="G472" s="3"/>
      <c r="H472" s="3"/>
      <c r="I472" s="4"/>
      <c r="J472" s="4"/>
      <c r="K472" s="4"/>
      <c r="L472" s="4">
        <f>K472*100*I472</f>
        <v>0</v>
      </c>
      <c r="M472" s="4">
        <f>K472*100*J472</f>
        <v>0</v>
      </c>
      <c r="N472" s="4" t="str">
        <f>IF(O472="Win",M472,IF(O472="Loss",-L472,""))</f>
        <v/>
      </c>
      <c r="O472" s="4"/>
      <c r="P472" s="3"/>
      <c r="Q472" s="4">
        <f>IF(SUM(N$2:N472)="",Dashboard!B3,Dashboard!B3+SUM(N$2:N472))</f>
        <v>4972</v>
      </c>
      <c r="R472" s="3"/>
    </row>
    <row r="473" spans="1:18">
      <c r="A473" s="3"/>
      <c r="B473" s="3"/>
      <c r="C473" s="3"/>
      <c r="D473" s="3"/>
      <c r="E473" s="3"/>
      <c r="F473" s="3"/>
      <c r="G473" s="3"/>
      <c r="H473" s="3"/>
      <c r="I473" s="4"/>
      <c r="J473" s="4"/>
      <c r="K473" s="4"/>
      <c r="L473" s="4">
        <f>K473*100*I473</f>
        <v>0</v>
      </c>
      <c r="M473" s="4">
        <f>K473*100*J473</f>
        <v>0</v>
      </c>
      <c r="N473" s="4" t="str">
        <f>IF(O473="Win",M473,IF(O473="Loss",-L473,""))</f>
        <v/>
      </c>
      <c r="O473" s="4"/>
      <c r="P473" s="3"/>
      <c r="Q473" s="4">
        <f>IF(SUM(N$2:N473)="",Dashboard!B3,Dashboard!B3+SUM(N$2:N473))</f>
        <v>4972</v>
      </c>
      <c r="R473" s="3"/>
    </row>
    <row r="474" spans="1:18">
      <c r="A474" s="3"/>
      <c r="B474" s="3"/>
      <c r="C474" s="3"/>
      <c r="D474" s="3"/>
      <c r="E474" s="3"/>
      <c r="F474" s="3"/>
      <c r="G474" s="3"/>
      <c r="H474" s="3"/>
      <c r="I474" s="4"/>
      <c r="J474" s="4"/>
      <c r="K474" s="4"/>
      <c r="L474" s="4">
        <f>K474*100*I474</f>
        <v>0</v>
      </c>
      <c r="M474" s="4">
        <f>K474*100*J474</f>
        <v>0</v>
      </c>
      <c r="N474" s="4" t="str">
        <f>IF(O474="Win",M474,IF(O474="Loss",-L474,""))</f>
        <v/>
      </c>
      <c r="O474" s="4"/>
      <c r="P474" s="3"/>
      <c r="Q474" s="4">
        <f>IF(SUM(N$2:N474)="",Dashboard!B3,Dashboard!B3+SUM(N$2:N474))</f>
        <v>4972</v>
      </c>
      <c r="R474" s="3"/>
    </row>
    <row r="475" spans="1:18">
      <c r="A475" s="3"/>
      <c r="B475" s="3"/>
      <c r="C475" s="3"/>
      <c r="D475" s="3"/>
      <c r="E475" s="3"/>
      <c r="F475" s="3"/>
      <c r="G475" s="3"/>
      <c r="H475" s="3"/>
      <c r="I475" s="4"/>
      <c r="J475" s="4"/>
      <c r="K475" s="4"/>
      <c r="L475" s="4">
        <f>K475*100*I475</f>
        <v>0</v>
      </c>
      <c r="M475" s="4">
        <f>K475*100*J475</f>
        <v>0</v>
      </c>
      <c r="N475" s="4" t="str">
        <f>IF(O475="Win",M475,IF(O475="Loss",-L475,""))</f>
        <v/>
      </c>
      <c r="O475" s="4"/>
      <c r="P475" s="3"/>
      <c r="Q475" s="4">
        <f>IF(SUM(N$2:N475)="",Dashboard!B3,Dashboard!B3+SUM(N$2:N475))</f>
        <v>4972</v>
      </c>
      <c r="R475" s="3"/>
    </row>
    <row r="476" spans="1:18">
      <c r="A476" s="3"/>
      <c r="B476" s="3"/>
      <c r="C476" s="3"/>
      <c r="D476" s="3"/>
      <c r="E476" s="3"/>
      <c r="F476" s="3"/>
      <c r="G476" s="3"/>
      <c r="H476" s="3"/>
      <c r="I476" s="4"/>
      <c r="J476" s="4"/>
      <c r="K476" s="4"/>
      <c r="L476" s="4">
        <f>K476*100*I476</f>
        <v>0</v>
      </c>
      <c r="M476" s="4">
        <f>K476*100*J476</f>
        <v>0</v>
      </c>
      <c r="N476" s="4" t="str">
        <f>IF(O476="Win",M476,IF(O476="Loss",-L476,""))</f>
        <v/>
      </c>
      <c r="O476" s="4"/>
      <c r="P476" s="3"/>
      <c r="Q476" s="4">
        <f>IF(SUM(N$2:N476)="",Dashboard!B3,Dashboard!B3+SUM(N$2:N476))</f>
        <v>4972</v>
      </c>
      <c r="R476" s="3"/>
    </row>
    <row r="477" spans="1:18">
      <c r="A477" s="3"/>
      <c r="B477" s="3"/>
      <c r="C477" s="3"/>
      <c r="D477" s="3"/>
      <c r="E477" s="3"/>
      <c r="F477" s="3"/>
      <c r="G477" s="3"/>
      <c r="H477" s="3"/>
      <c r="I477" s="4"/>
      <c r="J477" s="4"/>
      <c r="K477" s="4"/>
      <c r="L477" s="4">
        <f>K477*100*I477</f>
        <v>0</v>
      </c>
      <c r="M477" s="4">
        <f>K477*100*J477</f>
        <v>0</v>
      </c>
      <c r="N477" s="4" t="str">
        <f>IF(O477="Win",M477,IF(O477="Loss",-L477,""))</f>
        <v/>
      </c>
      <c r="O477" s="4"/>
      <c r="P477" s="3"/>
      <c r="Q477" s="4">
        <f>IF(SUM(N$2:N477)="",Dashboard!B3,Dashboard!B3+SUM(N$2:N477))</f>
        <v>4972</v>
      </c>
      <c r="R477" s="3"/>
    </row>
    <row r="478" spans="1:18">
      <c r="A478" s="3"/>
      <c r="B478" s="3"/>
      <c r="C478" s="3"/>
      <c r="D478" s="3"/>
      <c r="E478" s="3"/>
      <c r="F478" s="3"/>
      <c r="G478" s="3"/>
      <c r="H478" s="3"/>
      <c r="I478" s="4"/>
      <c r="J478" s="4"/>
      <c r="K478" s="4"/>
      <c r="L478" s="4">
        <f>K478*100*I478</f>
        <v>0</v>
      </c>
      <c r="M478" s="4">
        <f>K478*100*J478</f>
        <v>0</v>
      </c>
      <c r="N478" s="4" t="str">
        <f>IF(O478="Win",M478,IF(O478="Loss",-L478,""))</f>
        <v/>
      </c>
      <c r="O478" s="4"/>
      <c r="P478" s="3"/>
      <c r="Q478" s="4">
        <f>IF(SUM(N$2:N478)="",Dashboard!B3,Dashboard!B3+SUM(N$2:N478))</f>
        <v>4972</v>
      </c>
      <c r="R478" s="3"/>
    </row>
    <row r="479" spans="1:18">
      <c r="A479" s="3"/>
      <c r="B479" s="3"/>
      <c r="C479" s="3"/>
      <c r="D479" s="3"/>
      <c r="E479" s="3"/>
      <c r="F479" s="3"/>
      <c r="G479" s="3"/>
      <c r="H479" s="3"/>
      <c r="I479" s="4"/>
      <c r="J479" s="4"/>
      <c r="K479" s="4"/>
      <c r="L479" s="4">
        <f>K479*100*I479</f>
        <v>0</v>
      </c>
      <c r="M479" s="4">
        <f>K479*100*J479</f>
        <v>0</v>
      </c>
      <c r="N479" s="4" t="str">
        <f>IF(O479="Win",M479,IF(O479="Loss",-L479,""))</f>
        <v/>
      </c>
      <c r="O479" s="4"/>
      <c r="P479" s="3"/>
      <c r="Q479" s="4">
        <f>IF(SUM(N$2:N479)="",Dashboard!B3,Dashboard!B3+SUM(N$2:N479))</f>
        <v>4972</v>
      </c>
      <c r="R479" s="3"/>
    </row>
    <row r="480" spans="1:18">
      <c r="A480" s="3"/>
      <c r="B480" s="3"/>
      <c r="C480" s="3"/>
      <c r="D480" s="3"/>
      <c r="E480" s="3"/>
      <c r="F480" s="3"/>
      <c r="G480" s="3"/>
      <c r="H480" s="3"/>
      <c r="I480" s="4"/>
      <c r="J480" s="4"/>
      <c r="K480" s="4"/>
      <c r="L480" s="4">
        <f>K480*100*I480</f>
        <v>0</v>
      </c>
      <c r="M480" s="4">
        <f>K480*100*J480</f>
        <v>0</v>
      </c>
      <c r="N480" s="4" t="str">
        <f>IF(O480="Win",M480,IF(O480="Loss",-L480,""))</f>
        <v/>
      </c>
      <c r="O480" s="4"/>
      <c r="P480" s="3"/>
      <c r="Q480" s="4">
        <f>IF(SUM(N$2:N480)="",Dashboard!B3,Dashboard!B3+SUM(N$2:N480))</f>
        <v>4972</v>
      </c>
      <c r="R480" s="3"/>
    </row>
    <row r="481" spans="1:18">
      <c r="A481" s="3"/>
      <c r="B481" s="3"/>
      <c r="C481" s="3"/>
      <c r="D481" s="3"/>
      <c r="E481" s="3"/>
      <c r="F481" s="3"/>
      <c r="G481" s="3"/>
      <c r="H481" s="3"/>
      <c r="I481" s="4"/>
      <c r="J481" s="4"/>
      <c r="K481" s="4"/>
      <c r="L481" s="4">
        <f>K481*100*I481</f>
        <v>0</v>
      </c>
      <c r="M481" s="4">
        <f>K481*100*J481</f>
        <v>0</v>
      </c>
      <c r="N481" s="4" t="str">
        <f>IF(O481="Win",M481,IF(O481="Loss",-L481,""))</f>
        <v/>
      </c>
      <c r="O481" s="4"/>
      <c r="P481" s="3"/>
      <c r="Q481" s="4">
        <f>IF(SUM(N$2:N481)="",Dashboard!B3,Dashboard!B3+SUM(N$2:N481))</f>
        <v>4972</v>
      </c>
      <c r="R481" s="3"/>
    </row>
    <row r="482" spans="1:18">
      <c r="A482" s="3"/>
      <c r="B482" s="3"/>
      <c r="C482" s="3"/>
      <c r="D482" s="3"/>
      <c r="E482" s="3"/>
      <c r="F482" s="3"/>
      <c r="G482" s="3"/>
      <c r="H482" s="3"/>
      <c r="I482" s="4"/>
      <c r="J482" s="4"/>
      <c r="K482" s="4"/>
      <c r="L482" s="4">
        <f>K482*100*I482</f>
        <v>0</v>
      </c>
      <c r="M482" s="4">
        <f>K482*100*J482</f>
        <v>0</v>
      </c>
      <c r="N482" s="4" t="str">
        <f>IF(O482="Win",M482,IF(O482="Loss",-L482,""))</f>
        <v/>
      </c>
      <c r="O482" s="4"/>
      <c r="P482" s="3"/>
      <c r="Q482" s="4">
        <f>IF(SUM(N$2:N482)="",Dashboard!B3,Dashboard!B3+SUM(N$2:N482))</f>
        <v>4972</v>
      </c>
      <c r="R482" s="3"/>
    </row>
    <row r="483" spans="1:18">
      <c r="A483" s="3"/>
      <c r="B483" s="3"/>
      <c r="C483" s="3"/>
      <c r="D483" s="3"/>
      <c r="E483" s="3"/>
      <c r="F483" s="3"/>
      <c r="G483" s="3"/>
      <c r="H483" s="3"/>
      <c r="I483" s="4"/>
      <c r="J483" s="4"/>
      <c r="K483" s="4"/>
      <c r="L483" s="4">
        <f>K483*100*I483</f>
        <v>0</v>
      </c>
      <c r="M483" s="4">
        <f>K483*100*J483</f>
        <v>0</v>
      </c>
      <c r="N483" s="4" t="str">
        <f>IF(O483="Win",M483,IF(O483="Loss",-L483,""))</f>
        <v/>
      </c>
      <c r="O483" s="4"/>
      <c r="P483" s="3"/>
      <c r="Q483" s="4">
        <f>IF(SUM(N$2:N483)="",Dashboard!B3,Dashboard!B3+SUM(N$2:N483))</f>
        <v>4972</v>
      </c>
      <c r="R483" s="3"/>
    </row>
    <row r="484" spans="1:18">
      <c r="A484" s="3"/>
      <c r="B484" s="3"/>
      <c r="C484" s="3"/>
      <c r="D484" s="3"/>
      <c r="E484" s="3"/>
      <c r="F484" s="3"/>
      <c r="G484" s="3"/>
      <c r="H484" s="3"/>
      <c r="I484" s="4"/>
      <c r="J484" s="4"/>
      <c r="K484" s="4"/>
      <c r="L484" s="4">
        <f>K484*100*I484</f>
        <v>0</v>
      </c>
      <c r="M484" s="4">
        <f>K484*100*J484</f>
        <v>0</v>
      </c>
      <c r="N484" s="4" t="str">
        <f>IF(O484="Win",M484,IF(O484="Loss",-L484,""))</f>
        <v/>
      </c>
      <c r="O484" s="4"/>
      <c r="P484" s="3"/>
      <c r="Q484" s="4">
        <f>IF(SUM(N$2:N484)="",Dashboard!B3,Dashboard!B3+SUM(N$2:N484))</f>
        <v>4972</v>
      </c>
      <c r="R484" s="3"/>
    </row>
    <row r="485" spans="1:18">
      <c r="A485" s="3"/>
      <c r="B485" s="3"/>
      <c r="C485" s="3"/>
      <c r="D485" s="3"/>
      <c r="E485" s="3"/>
      <c r="F485" s="3"/>
      <c r="G485" s="3"/>
      <c r="H485" s="3"/>
      <c r="I485" s="4"/>
      <c r="J485" s="4"/>
      <c r="K485" s="4"/>
      <c r="L485" s="4">
        <f>K485*100*I485</f>
        <v>0</v>
      </c>
      <c r="M485" s="4">
        <f>K485*100*J485</f>
        <v>0</v>
      </c>
      <c r="N485" s="4" t="str">
        <f>IF(O485="Win",M485,IF(O485="Loss",-L485,""))</f>
        <v/>
      </c>
      <c r="O485" s="4"/>
      <c r="P485" s="3"/>
      <c r="Q485" s="4">
        <f>IF(SUM(N$2:N485)="",Dashboard!B3,Dashboard!B3+SUM(N$2:N485))</f>
        <v>4972</v>
      </c>
      <c r="R485" s="3"/>
    </row>
    <row r="486" spans="1:18">
      <c r="A486" s="3"/>
      <c r="B486" s="3"/>
      <c r="C486" s="3"/>
      <c r="D486" s="3"/>
      <c r="E486" s="3"/>
      <c r="F486" s="3"/>
      <c r="G486" s="3"/>
      <c r="H486" s="3"/>
      <c r="I486" s="4"/>
      <c r="J486" s="4"/>
      <c r="K486" s="4"/>
      <c r="L486" s="4">
        <f>K486*100*I486</f>
        <v>0</v>
      </c>
      <c r="M486" s="4">
        <f>K486*100*J486</f>
        <v>0</v>
      </c>
      <c r="N486" s="4" t="str">
        <f>IF(O486="Win",M486,IF(O486="Loss",-L486,""))</f>
        <v/>
      </c>
      <c r="O486" s="4"/>
      <c r="P486" s="3"/>
      <c r="Q486" s="4">
        <f>IF(SUM(N$2:N486)="",Dashboard!B3,Dashboard!B3+SUM(N$2:N486))</f>
        <v>4972</v>
      </c>
      <c r="R486" s="3"/>
    </row>
    <row r="487" spans="1:18">
      <c r="A487" s="3"/>
      <c r="B487" s="3"/>
      <c r="C487" s="3"/>
      <c r="D487" s="3"/>
      <c r="E487" s="3"/>
      <c r="F487" s="3"/>
      <c r="G487" s="3"/>
      <c r="H487" s="3"/>
      <c r="I487" s="4"/>
      <c r="J487" s="4"/>
      <c r="K487" s="4"/>
      <c r="L487" s="4">
        <f>K487*100*I487</f>
        <v>0</v>
      </c>
      <c r="M487" s="4">
        <f>K487*100*J487</f>
        <v>0</v>
      </c>
      <c r="N487" s="4" t="str">
        <f>IF(O487="Win",M487,IF(O487="Loss",-L487,""))</f>
        <v/>
      </c>
      <c r="O487" s="4"/>
      <c r="P487" s="3"/>
      <c r="Q487" s="4">
        <f>IF(SUM(N$2:N487)="",Dashboard!B3,Dashboard!B3+SUM(N$2:N487))</f>
        <v>4972</v>
      </c>
      <c r="R487" s="3"/>
    </row>
    <row r="488" spans="1:18">
      <c r="A488" s="3"/>
      <c r="B488" s="3"/>
      <c r="C488" s="3"/>
      <c r="D488" s="3"/>
      <c r="E488" s="3"/>
      <c r="F488" s="3"/>
      <c r="G488" s="3"/>
      <c r="H488" s="3"/>
      <c r="I488" s="4"/>
      <c r="J488" s="4"/>
      <c r="K488" s="4"/>
      <c r="L488" s="4">
        <f>K488*100*I488</f>
        <v>0</v>
      </c>
      <c r="M488" s="4">
        <f>K488*100*J488</f>
        <v>0</v>
      </c>
      <c r="N488" s="4" t="str">
        <f>IF(O488="Win",M488,IF(O488="Loss",-L488,""))</f>
        <v/>
      </c>
      <c r="O488" s="4"/>
      <c r="P488" s="3"/>
      <c r="Q488" s="4">
        <f>IF(SUM(N$2:N488)="",Dashboard!B3,Dashboard!B3+SUM(N$2:N488))</f>
        <v>4972</v>
      </c>
      <c r="R488" s="3"/>
    </row>
    <row r="489" spans="1:18">
      <c r="A489" s="3"/>
      <c r="B489" s="3"/>
      <c r="C489" s="3"/>
      <c r="D489" s="3"/>
      <c r="E489" s="3"/>
      <c r="F489" s="3"/>
      <c r="G489" s="3"/>
      <c r="H489" s="3"/>
      <c r="I489" s="4"/>
      <c r="J489" s="4"/>
      <c r="K489" s="4"/>
      <c r="L489" s="4">
        <f>K489*100*I489</f>
        <v>0</v>
      </c>
      <c r="M489" s="4">
        <f>K489*100*J489</f>
        <v>0</v>
      </c>
      <c r="N489" s="4" t="str">
        <f>IF(O489="Win",M489,IF(O489="Loss",-L489,""))</f>
        <v/>
      </c>
      <c r="O489" s="4"/>
      <c r="P489" s="3"/>
      <c r="Q489" s="4">
        <f>IF(SUM(N$2:N489)="",Dashboard!B3,Dashboard!B3+SUM(N$2:N489))</f>
        <v>4972</v>
      </c>
      <c r="R489" s="3"/>
    </row>
    <row r="490" spans="1:18">
      <c r="A490" s="3"/>
      <c r="B490" s="3"/>
      <c r="C490" s="3"/>
      <c r="D490" s="3"/>
      <c r="E490" s="3"/>
      <c r="F490" s="3"/>
      <c r="G490" s="3"/>
      <c r="H490" s="3"/>
      <c r="I490" s="4"/>
      <c r="J490" s="4"/>
      <c r="K490" s="4"/>
      <c r="L490" s="4">
        <f>K490*100*I490</f>
        <v>0</v>
      </c>
      <c r="M490" s="4">
        <f>K490*100*J490</f>
        <v>0</v>
      </c>
      <c r="N490" s="4" t="str">
        <f>IF(O490="Win",M490,IF(O490="Loss",-L490,""))</f>
        <v/>
      </c>
      <c r="O490" s="4"/>
      <c r="P490" s="3"/>
      <c r="Q490" s="4">
        <f>IF(SUM(N$2:N490)="",Dashboard!B3,Dashboard!B3+SUM(N$2:N490))</f>
        <v>4972</v>
      </c>
      <c r="R490" s="3"/>
    </row>
    <row r="491" spans="1:18">
      <c r="A491" s="3"/>
      <c r="B491" s="3"/>
      <c r="C491" s="3"/>
      <c r="D491" s="3"/>
      <c r="E491" s="3"/>
      <c r="F491" s="3"/>
      <c r="G491" s="3"/>
      <c r="H491" s="3"/>
      <c r="I491" s="4"/>
      <c r="J491" s="4"/>
      <c r="K491" s="4"/>
      <c r="L491" s="4">
        <f>K491*100*I491</f>
        <v>0</v>
      </c>
      <c r="M491" s="4">
        <f>K491*100*J491</f>
        <v>0</v>
      </c>
      <c r="N491" s="4" t="str">
        <f>IF(O491="Win",M491,IF(O491="Loss",-L491,""))</f>
        <v/>
      </c>
      <c r="O491" s="4"/>
      <c r="P491" s="3"/>
      <c r="Q491" s="4">
        <f>IF(SUM(N$2:N491)="",Dashboard!B3,Dashboard!B3+SUM(N$2:N491))</f>
        <v>4972</v>
      </c>
      <c r="R491" s="3"/>
    </row>
    <row r="492" spans="1:18">
      <c r="A492" s="3"/>
      <c r="B492" s="3"/>
      <c r="C492" s="3"/>
      <c r="D492" s="3"/>
      <c r="E492" s="3"/>
      <c r="F492" s="3"/>
      <c r="G492" s="3"/>
      <c r="H492" s="3"/>
      <c r="I492" s="4"/>
      <c r="J492" s="4"/>
      <c r="K492" s="4"/>
      <c r="L492" s="4">
        <f>K492*100*I492</f>
        <v>0</v>
      </c>
      <c r="M492" s="4">
        <f>K492*100*J492</f>
        <v>0</v>
      </c>
      <c r="N492" s="4" t="str">
        <f>IF(O492="Win",M492,IF(O492="Loss",-L492,""))</f>
        <v/>
      </c>
      <c r="O492" s="4"/>
      <c r="P492" s="3"/>
      <c r="Q492" s="4">
        <f>IF(SUM(N$2:N492)="",Dashboard!B3,Dashboard!B3+SUM(N$2:N492))</f>
        <v>4972</v>
      </c>
      <c r="R492" s="3"/>
    </row>
    <row r="493" spans="1:18">
      <c r="A493" s="3"/>
      <c r="B493" s="3"/>
      <c r="C493" s="3"/>
      <c r="D493" s="3"/>
      <c r="E493" s="3"/>
      <c r="F493" s="3"/>
      <c r="G493" s="3"/>
      <c r="H493" s="3"/>
      <c r="I493" s="4"/>
      <c r="J493" s="4"/>
      <c r="K493" s="4"/>
      <c r="L493" s="4">
        <f>K493*100*I493</f>
        <v>0</v>
      </c>
      <c r="M493" s="4">
        <f>K493*100*J493</f>
        <v>0</v>
      </c>
      <c r="N493" s="4" t="str">
        <f>IF(O493="Win",M493,IF(O493="Loss",-L493,""))</f>
        <v/>
      </c>
      <c r="O493" s="4"/>
      <c r="P493" s="3"/>
      <c r="Q493" s="4">
        <f>IF(SUM(N$2:N493)="",Dashboard!B3,Dashboard!B3+SUM(N$2:N493))</f>
        <v>4972</v>
      </c>
      <c r="R493" s="3"/>
    </row>
    <row r="494" spans="1:18">
      <c r="A494" s="3"/>
      <c r="B494" s="3"/>
      <c r="C494" s="3"/>
      <c r="D494" s="3"/>
      <c r="E494" s="3"/>
      <c r="F494" s="3"/>
      <c r="G494" s="3"/>
      <c r="H494" s="3"/>
      <c r="I494" s="4"/>
      <c r="J494" s="4"/>
      <c r="K494" s="4"/>
      <c r="L494" s="4">
        <f>K494*100*I494</f>
        <v>0</v>
      </c>
      <c r="M494" s="4">
        <f>K494*100*J494</f>
        <v>0</v>
      </c>
      <c r="N494" s="4" t="str">
        <f>IF(O494="Win",M494,IF(O494="Loss",-L494,""))</f>
        <v/>
      </c>
      <c r="O494" s="4"/>
      <c r="P494" s="3"/>
      <c r="Q494" s="4">
        <f>IF(SUM(N$2:N494)="",Dashboard!B3,Dashboard!B3+SUM(N$2:N494))</f>
        <v>4972</v>
      </c>
      <c r="R494" s="3"/>
    </row>
    <row r="495" spans="1:18">
      <c r="A495" s="3"/>
      <c r="B495" s="3"/>
      <c r="C495" s="3"/>
      <c r="D495" s="3"/>
      <c r="E495" s="3"/>
      <c r="F495" s="3"/>
      <c r="G495" s="3"/>
      <c r="H495" s="3"/>
      <c r="I495" s="4"/>
      <c r="J495" s="4"/>
      <c r="K495" s="4"/>
      <c r="L495" s="4">
        <f>K495*100*I495</f>
        <v>0</v>
      </c>
      <c r="M495" s="4">
        <f>K495*100*J495</f>
        <v>0</v>
      </c>
      <c r="N495" s="4" t="str">
        <f>IF(O495="Win",M495,IF(O495="Loss",-L495,""))</f>
        <v/>
      </c>
      <c r="O495" s="4"/>
      <c r="P495" s="3"/>
      <c r="Q495" s="4">
        <f>IF(SUM(N$2:N495)="",Dashboard!B3,Dashboard!B3+SUM(N$2:N495))</f>
        <v>4972</v>
      </c>
      <c r="R495" s="3"/>
    </row>
    <row r="496" spans="1:18">
      <c r="A496" s="3"/>
      <c r="B496" s="3"/>
      <c r="C496" s="3"/>
      <c r="D496" s="3"/>
      <c r="E496" s="3"/>
      <c r="F496" s="3"/>
      <c r="G496" s="3"/>
      <c r="H496" s="3"/>
      <c r="I496" s="4"/>
      <c r="J496" s="4"/>
      <c r="K496" s="4"/>
      <c r="L496" s="4">
        <f>K496*100*I496</f>
        <v>0</v>
      </c>
      <c r="M496" s="4">
        <f>K496*100*J496</f>
        <v>0</v>
      </c>
      <c r="N496" s="4" t="str">
        <f>IF(O496="Win",M496,IF(O496="Loss",-L496,""))</f>
        <v/>
      </c>
      <c r="O496" s="4"/>
      <c r="P496" s="3"/>
      <c r="Q496" s="4">
        <f>IF(SUM(N$2:N496)="",Dashboard!B3,Dashboard!B3+SUM(N$2:N496))</f>
        <v>4972</v>
      </c>
      <c r="R496" s="3"/>
    </row>
    <row r="497" spans="1:18">
      <c r="A497" s="3"/>
      <c r="B497" s="3"/>
      <c r="C497" s="3"/>
      <c r="D497" s="3"/>
      <c r="E497" s="3"/>
      <c r="F497" s="3"/>
      <c r="G497" s="3"/>
      <c r="H497" s="3"/>
      <c r="I497" s="4"/>
      <c r="J497" s="4"/>
      <c r="K497" s="4"/>
      <c r="L497" s="4">
        <f>K497*100*I497</f>
        <v>0</v>
      </c>
      <c r="M497" s="4">
        <f>K497*100*J497</f>
        <v>0</v>
      </c>
      <c r="N497" s="4" t="str">
        <f>IF(O497="Win",M497,IF(O497="Loss",-L497,""))</f>
        <v/>
      </c>
      <c r="O497" s="4"/>
      <c r="P497" s="3"/>
      <c r="Q497" s="4">
        <f>IF(SUM(N$2:N497)="",Dashboard!B3,Dashboard!B3+SUM(N$2:N497))</f>
        <v>4972</v>
      </c>
      <c r="R497" s="3"/>
    </row>
    <row r="498" spans="1:18">
      <c r="A498" s="3"/>
      <c r="B498" s="3"/>
      <c r="C498" s="3"/>
      <c r="D498" s="3"/>
      <c r="E498" s="3"/>
      <c r="F498" s="3"/>
      <c r="G498" s="3"/>
      <c r="H498" s="3"/>
      <c r="I498" s="4"/>
      <c r="J498" s="4"/>
      <c r="K498" s="4"/>
      <c r="L498" s="4">
        <f>K498*100*I498</f>
        <v>0</v>
      </c>
      <c r="M498" s="4">
        <f>K498*100*J498</f>
        <v>0</v>
      </c>
      <c r="N498" s="4" t="str">
        <f>IF(O498="Win",M498,IF(O498="Loss",-L498,""))</f>
        <v/>
      </c>
      <c r="O498" s="4"/>
      <c r="P498" s="3"/>
      <c r="Q498" s="4">
        <f>IF(SUM(N$2:N498)="",Dashboard!B3,Dashboard!B3+SUM(N$2:N498))</f>
        <v>4972</v>
      </c>
      <c r="R498" s="3"/>
    </row>
    <row r="499" spans="1:18">
      <c r="A499" s="3"/>
      <c r="B499" s="3"/>
      <c r="C499" s="3"/>
      <c r="D499" s="3"/>
      <c r="E499" s="3"/>
      <c r="F499" s="3"/>
      <c r="G499" s="3"/>
      <c r="H499" s="3"/>
      <c r="I499" s="4"/>
      <c r="J499" s="4"/>
      <c r="K499" s="4"/>
      <c r="L499" s="4">
        <f>K499*100*I499</f>
        <v>0</v>
      </c>
      <c r="M499" s="4">
        <f>K499*100*J499</f>
        <v>0</v>
      </c>
      <c r="N499" s="4" t="str">
        <f>IF(O499="Win",M499,IF(O499="Loss",-L499,""))</f>
        <v/>
      </c>
      <c r="O499" s="4"/>
      <c r="P499" s="3"/>
      <c r="Q499" s="4">
        <f>IF(SUM(N$2:N499)="",Dashboard!B3,Dashboard!B3+SUM(N$2:N499))</f>
        <v>4972</v>
      </c>
      <c r="R499" s="3"/>
    </row>
    <row r="500" spans="1:18">
      <c r="A500" s="3"/>
      <c r="B500" s="3"/>
      <c r="C500" s="3"/>
      <c r="D500" s="3"/>
      <c r="E500" s="3"/>
      <c r="F500" s="3"/>
      <c r="G500" s="3"/>
      <c r="H500" s="3"/>
      <c r="I500" s="4"/>
      <c r="J500" s="4"/>
      <c r="K500" s="4"/>
      <c r="L500" s="4">
        <f>K500*100*I500</f>
        <v>0</v>
      </c>
      <c r="M500" s="4">
        <f>K500*100*J500</f>
        <v>0</v>
      </c>
      <c r="N500" s="4" t="str">
        <f>IF(O500="Win",M500,IF(O500="Loss",-L500,""))</f>
        <v/>
      </c>
      <c r="O500" s="4"/>
      <c r="P500" s="3"/>
      <c r="Q500" s="4">
        <f>IF(SUM(N$2:N500)="",Dashboard!B3,Dashboard!B3+SUM(N$2:N500))</f>
        <v>4972</v>
      </c>
      <c r="R500" s="3"/>
    </row>
    <row r="501" spans="1:18">
      <c r="A501" s="3"/>
      <c r="B501" s="3"/>
      <c r="C501" s="3"/>
      <c r="D501" s="3"/>
      <c r="E501" s="3"/>
      <c r="F501" s="3"/>
      <c r="G501" s="3"/>
      <c r="H501" s="3"/>
      <c r="I501" s="4"/>
      <c r="J501" s="4"/>
      <c r="K501" s="4"/>
      <c r="L501" s="4">
        <f>K501*100*I501</f>
        <v>0</v>
      </c>
      <c r="M501" s="4">
        <f>K501*100*J501</f>
        <v>0</v>
      </c>
      <c r="N501" s="4" t="str">
        <f>IF(O501="Win",M501,IF(O501="Loss",-L501,""))</f>
        <v/>
      </c>
      <c r="O501" s="4"/>
      <c r="P501" s="3"/>
      <c r="Q501" s="4">
        <f>IF(SUM(N$2:N501)="",Dashboard!B3,Dashboard!B3+SUM(N$2:N501))</f>
        <v>4972</v>
      </c>
      <c r="R501" s="3"/>
    </row>
  </sheetData>
  <sheetProtection sheet="1"/>
  <protectedRanges>
    <protectedRange sqref="A1:K1048576" name="Range1"/>
    <protectedRange sqref="O1:P1048576" name="Range2"/>
    <protectedRange sqref="R1:R1048576" name="Range3"/>
  </protectedRanges>
  <conditionalFormatting sqref="O2:O500">
    <cfRule type="expression" dxfId="2" priority="1" stopIfTrue="1">
      <formula>$O2="Win"</formula>
    </cfRule>
    <cfRule type="expression" dxfId="1" priority="2" stopIfTrue="1">
      <formula>$O2="Loss"</formula>
    </cfRule>
  </conditionalFormatting>
  <conditionalFormatting sqref="P2:P500">
    <cfRule type="expression" dxfId="0" priority="3" stopIfTrue="1">
      <formula>$P2="No"</formula>
    </cfRule>
  </conditionalFormatting>
  <conditionalFormatting sqref="N2:N500">
    <cfRule type="colorScale" priority="4">
      <colorScale>
        <cfvo type="min"/>
        <cfvo type="num" val="0"/>
        <cfvo type="max"/>
        <color rgb="FFF8696B"/>
        <color rgb="FFFFEB84"/>
        <color rgb="FF63BE7B"/>
      </colorScale>
    </cfRule>
  </conditionalFormatting>
  <dataValidations count="2">
    <dataValidation type="list" allowBlank="1" sqref="O2:O500" xr:uid="{00000000-0002-0000-0100-000000000000}">
      <formula1>"Win,Loss"</formula1>
    </dataValidation>
    <dataValidation type="list" allowBlank="1" sqref="P2:P500" xr:uid="{00000000-0002-0000-0100-000001000000}">
      <formula1>"Yes,No"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workbookViewId="0"/>
  </sheetViews>
  <sheetFormatPr defaultRowHeight="15"/>
  <cols>
    <col min="1" max="1" width="18.140625" customWidth="1"/>
  </cols>
  <sheetData>
    <row r="1" spans="1:2">
      <c r="A1" s="2" t="s">
        <v>41</v>
      </c>
      <c r="B1" s="2">
        <f>COUNTA(Trade_Journal!A2:A500)</f>
        <v>3</v>
      </c>
    </row>
    <row r="2" spans="1:2">
      <c r="A2" s="3" t="s">
        <v>42</v>
      </c>
      <c r="B2" s="3">
        <f>COUNTIF(Trade_Journal!O2:O500,"Win")</f>
        <v>2</v>
      </c>
    </row>
    <row r="3" spans="1:2">
      <c r="A3" s="3" t="s">
        <v>43</v>
      </c>
      <c r="B3" s="3">
        <f>COUNTIF(Trade_Journal!O2:O500,"Loss")</f>
        <v>1</v>
      </c>
    </row>
    <row r="4" spans="1:2">
      <c r="A4" s="3" t="s">
        <v>44</v>
      </c>
      <c r="B4" s="5">
        <f>IF(B1=0,0,B2/B1)</f>
        <v>0.66666666666666663</v>
      </c>
    </row>
    <row r="5" spans="1:2">
      <c r="A5" s="3"/>
      <c r="B5" s="3"/>
    </row>
    <row r="6" spans="1:2">
      <c r="A6" s="3" t="s">
        <v>45</v>
      </c>
      <c r="B6" s="3">
        <f>SUM(Trade_Journal!N2:N500)</f>
        <v>-28</v>
      </c>
    </row>
    <row r="7" spans="1:2">
      <c r="A7" s="3" t="s">
        <v>46</v>
      </c>
      <c r="B7" s="3">
        <f>Dashboard!B3 + B6</f>
        <v>4972</v>
      </c>
    </row>
    <row r="8" spans="1:2">
      <c r="A8" s="3" t="s">
        <v>47</v>
      </c>
      <c r="B8" s="3">
        <f>MAX(Trade_Journal!Q2:Q500)</f>
        <v>5010</v>
      </c>
    </row>
    <row r="9" spans="1:2">
      <c r="A9" s="3" t="s">
        <v>48</v>
      </c>
      <c r="B9" s="3">
        <f>B8 - B7</f>
        <v>38</v>
      </c>
    </row>
    <row r="10" spans="1:2">
      <c r="A10" s="3" t="s">
        <v>49</v>
      </c>
      <c r="B10" s="5">
        <f>IF(B8=0,0,B9/B8)</f>
        <v>7.5848303393213573E-3</v>
      </c>
    </row>
  </sheetData>
  <sheetProtection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defaultRowHeight="15"/>
  <cols>
    <col min="1" max="1" width="27.140625" customWidth="1"/>
  </cols>
  <sheetData>
    <row r="1" spans="1:2">
      <c r="A1" s="2" t="s">
        <v>50</v>
      </c>
      <c r="B1" s="2">
        <f>Dashboard!B7</f>
        <v>500</v>
      </c>
    </row>
    <row r="2" spans="1:2">
      <c r="A2" s="3" t="s">
        <v>51</v>
      </c>
      <c r="B2" s="3">
        <f>Dashboard!B8</f>
        <v>250</v>
      </c>
    </row>
    <row r="3" spans="1:2">
      <c r="A3" s="3"/>
      <c r="B3" s="3"/>
    </row>
    <row r="4" spans="1:2">
      <c r="A4" s="3" t="s">
        <v>52</v>
      </c>
      <c r="B4" s="3">
        <f>Stats!B6</f>
        <v>-28</v>
      </c>
    </row>
    <row r="5" spans="1:2">
      <c r="A5" s="3" t="s">
        <v>53</v>
      </c>
      <c r="B5" s="6">
        <f>MIN(1,IF(B4&lt;=0,0,B4/B1))</f>
        <v>0</v>
      </c>
    </row>
    <row r="6" spans="1:2">
      <c r="A6" s="3" t="s">
        <v>54</v>
      </c>
      <c r="B6" s="6">
        <f>MIN(1,IF(B4&lt;=0,0,B4/B2))</f>
        <v>0</v>
      </c>
    </row>
  </sheetData>
  <sheetProtection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showGridLines="0" workbookViewId="0">
      <selection activeCell="B7" sqref="B7"/>
    </sheetView>
  </sheetViews>
  <sheetFormatPr defaultRowHeight="15"/>
  <cols>
    <col min="1" max="1" width="120" customWidth="1"/>
  </cols>
  <sheetData>
    <row r="1" spans="1:1">
      <c r="A1" s="2" t="s">
        <v>55</v>
      </c>
    </row>
    <row r="2" spans="1:1">
      <c r="A2" s="3"/>
    </row>
    <row r="3" spans="1:1">
      <c r="A3" s="3" t="s">
        <v>56</v>
      </c>
    </row>
    <row r="4" spans="1:1">
      <c r="A4" s="3" t="s">
        <v>57</v>
      </c>
    </row>
    <row r="5" spans="1:1">
      <c r="A5" s="3"/>
    </row>
    <row r="6" spans="1:1">
      <c r="A6" s="3" t="s">
        <v>58</v>
      </c>
    </row>
    <row r="7" spans="1:1">
      <c r="A7" s="3" t="s">
        <v>59</v>
      </c>
    </row>
    <row r="8" spans="1:1">
      <c r="A8" s="3"/>
    </row>
    <row r="9" spans="1:1">
      <c r="A9" s="3" t="s">
        <v>60</v>
      </c>
    </row>
    <row r="10" spans="1:1">
      <c r="A10" s="3" t="s">
        <v>61</v>
      </c>
    </row>
    <row r="11" spans="1:1">
      <c r="A11" s="3" t="s">
        <v>62</v>
      </c>
    </row>
    <row r="12" spans="1:1">
      <c r="A12" s="3" t="s">
        <v>63</v>
      </c>
    </row>
    <row r="13" spans="1:1">
      <c r="A13" s="3" t="s">
        <v>64</v>
      </c>
    </row>
    <row r="14" spans="1:1">
      <c r="A14" s="3"/>
    </row>
    <row r="15" spans="1:1">
      <c r="A15" s="3" t="s">
        <v>65</v>
      </c>
    </row>
    <row r="16" spans="1:1">
      <c r="A16" s="3" t="s">
        <v>66</v>
      </c>
    </row>
    <row r="17" spans="1:1">
      <c r="A17" s="3"/>
    </row>
    <row r="18" spans="1:1">
      <c r="A18" s="3" t="s">
        <v>67</v>
      </c>
    </row>
    <row r="19" spans="1:1">
      <c r="A19" s="3" t="s">
        <v>68</v>
      </c>
    </row>
    <row r="20" spans="1:1">
      <c r="A20" s="3" t="s">
        <v>69</v>
      </c>
    </row>
    <row r="21" spans="1:1">
      <c r="A21" s="3" t="s">
        <v>70</v>
      </c>
    </row>
  </sheetData>
  <sheetProtection sheet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showGridLines="0" workbookViewId="0"/>
  </sheetViews>
  <sheetFormatPr defaultRowHeight="15"/>
  <cols>
    <col min="1" max="1" width="90" customWidth="1"/>
  </cols>
  <sheetData>
    <row r="1" spans="1:1">
      <c r="A1" s="2" t="s">
        <v>71</v>
      </c>
    </row>
    <row r="2" spans="1:1">
      <c r="A2" s="3"/>
    </row>
    <row r="3" spans="1:1">
      <c r="A3" s="3" t="s">
        <v>72</v>
      </c>
    </row>
    <row r="4" spans="1:1">
      <c r="A4" s="3" t="s">
        <v>73</v>
      </c>
    </row>
    <row r="5" spans="1:1">
      <c r="A5" s="3"/>
    </row>
    <row r="6" spans="1:1">
      <c r="A6" s="3" t="s">
        <v>74</v>
      </c>
    </row>
    <row r="7" spans="1:1">
      <c r="A7" s="3" t="s">
        <v>75</v>
      </c>
    </row>
    <row r="8" spans="1:1">
      <c r="A8" s="3"/>
    </row>
    <row r="9" spans="1:1">
      <c r="A9" s="3" t="s">
        <v>76</v>
      </c>
    </row>
    <row r="10" spans="1:1">
      <c r="A10" s="3"/>
    </row>
    <row r="11" spans="1:1">
      <c r="A11" s="3" t="s">
        <v>77</v>
      </c>
    </row>
    <row r="12" spans="1:1">
      <c r="A12" s="3"/>
    </row>
    <row r="13" spans="1:1">
      <c r="A13" s="3" t="s">
        <v>78</v>
      </c>
    </row>
  </sheetData>
  <sheetProtection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2025-12-31T06:44:42Z</dcterms:created>
  <dcterms:modified xsi:type="dcterms:W3CDTF">2026-01-05T06:41:34Z</dcterms:modified>
  <cp:category/>
  <cp:contentStatus/>
</cp:coreProperties>
</file>